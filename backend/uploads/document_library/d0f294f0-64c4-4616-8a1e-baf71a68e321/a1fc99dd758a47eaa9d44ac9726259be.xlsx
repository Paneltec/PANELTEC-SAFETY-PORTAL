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paneltec-my.sharepoint.com/personal/philip_paneltec_com_au/Documents/Desktop/IMS 2024 - 2025/5. System Forms V9.0 - 2024/"/>
    </mc:Choice>
  </mc:AlternateContent>
  <xr:revisionPtr revIDLastSave="1" documentId="8_{08C9DEA2-894C-4D66-8715-28475BFE1430}" xr6:coauthVersionLast="47" xr6:coauthVersionMax="47" xr10:uidLastSave="{4E33A823-7658-4118-9B6E-8DDB0BBF4DEB}"/>
  <bookViews>
    <workbookView xWindow="4180" yWindow="4290" windowWidth="28800" windowHeight="15360" activeTab="1" xr2:uid="{3B252CE1-88CC-43EA-BDD3-4EDE4CE20603}"/>
  </bookViews>
  <sheets>
    <sheet name="Planning Phase" sheetId="6" r:id="rId1"/>
    <sheet name="Design Phase" sheetId="11" r:id="rId2"/>
    <sheet name="Implementation Phase" sheetId="12" r:id="rId3"/>
    <sheet name="Likelihood" sheetId="8" r:id="rId4"/>
    <sheet name="Consequence" sheetId="9" r:id="rId5"/>
    <sheet name="Risk Level" sheetId="10" r:id="rId6"/>
    <sheet name="Lookup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81" i="12" l="1"/>
  <c r="U81" i="12"/>
  <c r="Q81" i="12"/>
  <c r="P81" i="12"/>
  <c r="V40" i="6"/>
  <c r="U40" i="6"/>
  <c r="Q40" i="6"/>
  <c r="P40" i="6"/>
  <c r="F40" i="6" s="1"/>
  <c r="V29" i="6"/>
  <c r="U29" i="6"/>
  <c r="Q29" i="6"/>
  <c r="P29" i="6"/>
  <c r="V89" i="12"/>
  <c r="U89" i="12"/>
  <c r="Q89" i="12"/>
  <c r="P89" i="12"/>
  <c r="V88" i="12"/>
  <c r="U88" i="12"/>
  <c r="Q88" i="12"/>
  <c r="P88" i="12"/>
  <c r="V46" i="12"/>
  <c r="U46" i="12"/>
  <c r="Q46" i="12"/>
  <c r="P46" i="12"/>
  <c r="V44" i="12"/>
  <c r="U44" i="12"/>
  <c r="Q44" i="12"/>
  <c r="P44" i="12"/>
  <c r="V43" i="12"/>
  <c r="U43" i="12"/>
  <c r="Q43" i="12"/>
  <c r="P43" i="12"/>
  <c r="V42" i="12"/>
  <c r="U42" i="12"/>
  <c r="Q42" i="12"/>
  <c r="P42" i="12"/>
  <c r="V41" i="12"/>
  <c r="U41" i="12"/>
  <c r="Q41" i="12"/>
  <c r="P41" i="12"/>
  <c r="V40" i="12"/>
  <c r="U40" i="12"/>
  <c r="Q40" i="12"/>
  <c r="P40" i="12"/>
  <c r="V39" i="12"/>
  <c r="U39" i="12"/>
  <c r="Q39" i="12"/>
  <c r="P39" i="12"/>
  <c r="V38" i="12"/>
  <c r="U38" i="12"/>
  <c r="Q38" i="12"/>
  <c r="P38" i="12"/>
  <c r="V87" i="12"/>
  <c r="U87" i="12"/>
  <c r="Q87" i="12"/>
  <c r="P87" i="12"/>
  <c r="V86" i="12"/>
  <c r="U86" i="12"/>
  <c r="Q86" i="12"/>
  <c r="P86" i="12"/>
  <c r="V85" i="12"/>
  <c r="U85" i="12"/>
  <c r="Q85" i="12"/>
  <c r="P85" i="12"/>
  <c r="V84" i="12"/>
  <c r="U84" i="12"/>
  <c r="Q84" i="12"/>
  <c r="P84" i="12"/>
  <c r="V82" i="12"/>
  <c r="U82" i="12"/>
  <c r="Q82" i="12"/>
  <c r="P82" i="12"/>
  <c r="V80" i="12"/>
  <c r="U80" i="12"/>
  <c r="Q80" i="12"/>
  <c r="P80" i="12"/>
  <c r="V73" i="12"/>
  <c r="U73" i="12"/>
  <c r="Q73" i="12"/>
  <c r="P73" i="12"/>
  <c r="V72" i="12"/>
  <c r="U72" i="12"/>
  <c r="Q72" i="12"/>
  <c r="P72" i="12"/>
  <c r="V70" i="12"/>
  <c r="U70" i="12"/>
  <c r="Q70" i="12"/>
  <c r="P70" i="12"/>
  <c r="V68" i="12"/>
  <c r="U68" i="12"/>
  <c r="Q68" i="12"/>
  <c r="P68" i="12"/>
  <c r="V67" i="12"/>
  <c r="U67" i="12"/>
  <c r="Q67" i="12"/>
  <c r="P67" i="12"/>
  <c r="V66" i="12"/>
  <c r="U66" i="12"/>
  <c r="Q66" i="12"/>
  <c r="P66" i="12"/>
  <c r="V65" i="12"/>
  <c r="U65" i="12"/>
  <c r="Q65" i="12"/>
  <c r="P65" i="12"/>
  <c r="V64" i="12"/>
  <c r="U64" i="12"/>
  <c r="Q64" i="12"/>
  <c r="P64" i="12"/>
  <c r="V63" i="12"/>
  <c r="U63" i="12"/>
  <c r="Q63" i="12"/>
  <c r="P63" i="12"/>
  <c r="V61" i="12"/>
  <c r="U61" i="12"/>
  <c r="Q61" i="12"/>
  <c r="P61" i="12"/>
  <c r="V60" i="12"/>
  <c r="U60" i="12"/>
  <c r="Q60" i="12"/>
  <c r="P60" i="12"/>
  <c r="V59" i="12"/>
  <c r="U59" i="12"/>
  <c r="Q59" i="12"/>
  <c r="P59" i="12"/>
  <c r="V58" i="12"/>
  <c r="U58" i="12"/>
  <c r="Q58" i="12"/>
  <c r="P58" i="12"/>
  <c r="V57" i="12"/>
  <c r="U57" i="12"/>
  <c r="Q57" i="12"/>
  <c r="P57" i="12"/>
  <c r="V56" i="12"/>
  <c r="U56" i="12"/>
  <c r="Q56" i="12"/>
  <c r="P56" i="12"/>
  <c r="V55" i="12"/>
  <c r="U55" i="12"/>
  <c r="Q55" i="12"/>
  <c r="P55" i="12"/>
  <c r="V37" i="12"/>
  <c r="U37" i="12"/>
  <c r="Q37" i="12"/>
  <c r="P37" i="12"/>
  <c r="V35" i="12"/>
  <c r="U35" i="12"/>
  <c r="Q35" i="12"/>
  <c r="P35" i="12"/>
  <c r="V34" i="12"/>
  <c r="U34" i="12"/>
  <c r="Q34" i="12"/>
  <c r="P34" i="12"/>
  <c r="V33" i="12"/>
  <c r="U33" i="12"/>
  <c r="Q33" i="12"/>
  <c r="P33" i="12"/>
  <c r="V32" i="12"/>
  <c r="U32" i="12"/>
  <c r="Q32" i="12"/>
  <c r="P32" i="12"/>
  <c r="V31" i="12"/>
  <c r="U31" i="12"/>
  <c r="Q31" i="12"/>
  <c r="P31" i="12"/>
  <c r="V30" i="12"/>
  <c r="U30" i="12"/>
  <c r="Q30" i="12"/>
  <c r="P30" i="12"/>
  <c r="V29" i="12"/>
  <c r="U29" i="12"/>
  <c r="Q29" i="12"/>
  <c r="P29" i="12"/>
  <c r="V28" i="12"/>
  <c r="U28" i="12"/>
  <c r="Q28" i="12"/>
  <c r="P28" i="12"/>
  <c r="V27" i="12"/>
  <c r="U27" i="12"/>
  <c r="Q27" i="12"/>
  <c r="P27" i="12"/>
  <c r="V26" i="12"/>
  <c r="U26" i="12"/>
  <c r="Q26" i="12"/>
  <c r="P26" i="12"/>
  <c r="V25" i="12"/>
  <c r="U25" i="12"/>
  <c r="Q25" i="12"/>
  <c r="P25" i="12"/>
  <c r="V24" i="12"/>
  <c r="U24" i="12"/>
  <c r="Q24" i="12"/>
  <c r="P24" i="12"/>
  <c r="V23" i="12"/>
  <c r="U23" i="12"/>
  <c r="Q23" i="12"/>
  <c r="P23" i="12"/>
  <c r="V22" i="12"/>
  <c r="U22" i="12"/>
  <c r="Q22" i="12"/>
  <c r="P22" i="12"/>
  <c r="V18" i="12"/>
  <c r="U18" i="12"/>
  <c r="Q18" i="12"/>
  <c r="P18" i="12"/>
  <c r="V16" i="12"/>
  <c r="U16" i="12"/>
  <c r="Q16" i="12"/>
  <c r="P16" i="12"/>
  <c r="V15" i="12"/>
  <c r="U15" i="12"/>
  <c r="Q15" i="12"/>
  <c r="P15" i="12"/>
  <c r="V14" i="12"/>
  <c r="U14" i="12"/>
  <c r="S14" i="12"/>
  <c r="F91" i="12" s="1"/>
  <c r="Q14" i="12"/>
  <c r="P14" i="12"/>
  <c r="V13" i="12"/>
  <c r="U13" i="12"/>
  <c r="Q13" i="12"/>
  <c r="P13" i="12"/>
  <c r="V12" i="12"/>
  <c r="U12" i="12"/>
  <c r="Q12" i="12"/>
  <c r="P12" i="12"/>
  <c r="V11" i="12"/>
  <c r="U11" i="12"/>
  <c r="Q11" i="12"/>
  <c r="P11" i="12"/>
  <c r="V10" i="12"/>
  <c r="U10" i="12"/>
  <c r="Q10" i="12"/>
  <c r="P10" i="12"/>
  <c r="V61" i="11"/>
  <c r="U61" i="11"/>
  <c r="Q61" i="11"/>
  <c r="P61" i="11"/>
  <c r="V85" i="11"/>
  <c r="U85" i="11"/>
  <c r="Q85" i="11"/>
  <c r="P85" i="11"/>
  <c r="V103" i="11"/>
  <c r="U103" i="11"/>
  <c r="Q103" i="11"/>
  <c r="P103" i="11"/>
  <c r="V102" i="11"/>
  <c r="U102" i="11"/>
  <c r="Q102" i="11"/>
  <c r="P102" i="11"/>
  <c r="P62" i="11"/>
  <c r="Q62" i="11"/>
  <c r="U62" i="11"/>
  <c r="V62" i="11"/>
  <c r="P64" i="11"/>
  <c r="Q64" i="11"/>
  <c r="U64" i="11"/>
  <c r="V64" i="11"/>
  <c r="V113" i="11"/>
  <c r="U113" i="11"/>
  <c r="Q113" i="11"/>
  <c r="P113" i="11"/>
  <c r="V101" i="11"/>
  <c r="U101" i="11"/>
  <c r="Q101" i="11"/>
  <c r="P101" i="11"/>
  <c r="V100" i="11"/>
  <c r="U100" i="11"/>
  <c r="Q100" i="11"/>
  <c r="P100" i="11"/>
  <c r="V52" i="11"/>
  <c r="U52" i="11"/>
  <c r="Q52" i="11"/>
  <c r="P52" i="11"/>
  <c r="V47" i="11"/>
  <c r="U47" i="11"/>
  <c r="Q47" i="11"/>
  <c r="P47" i="11"/>
  <c r="V25" i="11"/>
  <c r="U25" i="11"/>
  <c r="Q25" i="11"/>
  <c r="P25" i="11"/>
  <c r="V59" i="11"/>
  <c r="U59" i="11"/>
  <c r="Q59" i="11"/>
  <c r="P59" i="11"/>
  <c r="V118" i="11"/>
  <c r="U118" i="11"/>
  <c r="Q118" i="11"/>
  <c r="P118" i="11"/>
  <c r="V117" i="11"/>
  <c r="U117" i="11"/>
  <c r="Q117" i="11"/>
  <c r="P117" i="11"/>
  <c r="V116" i="11"/>
  <c r="U116" i="11"/>
  <c r="Q116" i="11"/>
  <c r="P116" i="11"/>
  <c r="V78" i="11"/>
  <c r="U78" i="11"/>
  <c r="Q78" i="11"/>
  <c r="P78" i="11"/>
  <c r="V77" i="11"/>
  <c r="U77" i="11"/>
  <c r="Q77" i="11"/>
  <c r="P77" i="11"/>
  <c r="V76" i="11"/>
  <c r="U76" i="11"/>
  <c r="Q76" i="11"/>
  <c r="P76" i="11"/>
  <c r="V110" i="11"/>
  <c r="U110" i="11"/>
  <c r="Q110" i="11"/>
  <c r="P110" i="11"/>
  <c r="V109" i="11"/>
  <c r="U109" i="11"/>
  <c r="Q109" i="11"/>
  <c r="P109" i="11"/>
  <c r="V107" i="11"/>
  <c r="U107" i="11"/>
  <c r="Q107" i="11"/>
  <c r="P107" i="11"/>
  <c r="V106" i="11"/>
  <c r="U106" i="11"/>
  <c r="Q106" i="11"/>
  <c r="P106" i="11"/>
  <c r="V104" i="11"/>
  <c r="U104" i="11"/>
  <c r="Q104" i="11"/>
  <c r="P104" i="11"/>
  <c r="V98" i="11"/>
  <c r="U98" i="11"/>
  <c r="Q98" i="11"/>
  <c r="P98" i="11"/>
  <c r="V89" i="11"/>
  <c r="U89" i="11"/>
  <c r="Q89" i="11"/>
  <c r="P89" i="11"/>
  <c r="V87" i="11"/>
  <c r="U87" i="11"/>
  <c r="Q87" i="11"/>
  <c r="P87" i="11"/>
  <c r="V81" i="11"/>
  <c r="U81" i="11"/>
  <c r="Q81" i="11"/>
  <c r="P81" i="11"/>
  <c r="V79" i="11"/>
  <c r="U79" i="11"/>
  <c r="Q79" i="11"/>
  <c r="P79" i="11"/>
  <c r="V74" i="11"/>
  <c r="U74" i="11"/>
  <c r="Q74" i="11"/>
  <c r="P74" i="11"/>
  <c r="V72" i="11"/>
  <c r="U72" i="11"/>
  <c r="Q72" i="11"/>
  <c r="P72" i="11"/>
  <c r="V70" i="11"/>
  <c r="U70" i="11"/>
  <c r="Q70" i="11"/>
  <c r="P70" i="11"/>
  <c r="V69" i="11"/>
  <c r="U69" i="11"/>
  <c r="Q69" i="11"/>
  <c r="P69" i="11"/>
  <c r="V68" i="11"/>
  <c r="U68" i="11"/>
  <c r="Q68" i="11"/>
  <c r="P68" i="11"/>
  <c r="V66" i="11"/>
  <c r="U66" i="11"/>
  <c r="Q66" i="11"/>
  <c r="P66" i="11"/>
  <c r="V65" i="11"/>
  <c r="U65" i="11"/>
  <c r="Q65" i="11"/>
  <c r="P65" i="11"/>
  <c r="V57" i="11"/>
  <c r="U57" i="11"/>
  <c r="Q57" i="11"/>
  <c r="P57" i="11"/>
  <c r="V56" i="11"/>
  <c r="U56" i="11"/>
  <c r="Q56" i="11"/>
  <c r="P56" i="11"/>
  <c r="V55" i="11"/>
  <c r="U55" i="11"/>
  <c r="Q55" i="11"/>
  <c r="P55" i="11"/>
  <c r="V53" i="11"/>
  <c r="U53" i="11"/>
  <c r="Q53" i="11"/>
  <c r="P53" i="11"/>
  <c r="V50" i="11"/>
  <c r="U50" i="11"/>
  <c r="Q50" i="11"/>
  <c r="P50" i="11"/>
  <c r="V48" i="11"/>
  <c r="U48" i="11"/>
  <c r="Q48" i="11"/>
  <c r="P48" i="11"/>
  <c r="V45" i="11"/>
  <c r="U45" i="11"/>
  <c r="Q45" i="11"/>
  <c r="P45" i="11"/>
  <c r="V44" i="11"/>
  <c r="U44" i="11"/>
  <c r="Q44" i="11"/>
  <c r="P44" i="11"/>
  <c r="V43" i="11"/>
  <c r="U43" i="11"/>
  <c r="Q43" i="11"/>
  <c r="P43" i="11"/>
  <c r="V42" i="11"/>
  <c r="U42" i="11"/>
  <c r="Q42" i="11"/>
  <c r="P42" i="11"/>
  <c r="V41" i="11"/>
  <c r="U41" i="11"/>
  <c r="Q41" i="11"/>
  <c r="P41" i="11"/>
  <c r="V40" i="11"/>
  <c r="U40" i="11"/>
  <c r="Q40" i="11"/>
  <c r="P40" i="11"/>
  <c r="V39" i="11"/>
  <c r="U39" i="11"/>
  <c r="Q39" i="11"/>
  <c r="P39" i="11"/>
  <c r="V38" i="11"/>
  <c r="U38" i="11"/>
  <c r="Q38" i="11"/>
  <c r="P38" i="11"/>
  <c r="V37" i="11"/>
  <c r="U37" i="11"/>
  <c r="Q37" i="11"/>
  <c r="P37" i="11"/>
  <c r="V36" i="11"/>
  <c r="U36" i="11"/>
  <c r="Q36" i="11"/>
  <c r="P36" i="11"/>
  <c r="V35" i="11"/>
  <c r="U35" i="11"/>
  <c r="Q35" i="11"/>
  <c r="P35" i="11"/>
  <c r="V34" i="11"/>
  <c r="U34" i="11"/>
  <c r="Q34" i="11"/>
  <c r="P34" i="11"/>
  <c r="V33" i="11"/>
  <c r="U33" i="11"/>
  <c r="Q33" i="11"/>
  <c r="P33" i="11"/>
  <c r="V31" i="11"/>
  <c r="U31" i="11"/>
  <c r="Q31" i="11"/>
  <c r="P31" i="11"/>
  <c r="V21" i="11"/>
  <c r="U21" i="11"/>
  <c r="Q21" i="11"/>
  <c r="P21" i="11"/>
  <c r="V20" i="11"/>
  <c r="U20" i="11"/>
  <c r="Q20" i="11"/>
  <c r="P20" i="11"/>
  <c r="V19" i="11"/>
  <c r="U19" i="11"/>
  <c r="Q19" i="11"/>
  <c r="P19" i="11"/>
  <c r="V18" i="11"/>
  <c r="U18" i="11"/>
  <c r="Q18" i="11"/>
  <c r="P18" i="11"/>
  <c r="V17" i="11"/>
  <c r="U17" i="11"/>
  <c r="Q17" i="11"/>
  <c r="P17" i="11"/>
  <c r="V16" i="11"/>
  <c r="U16" i="11"/>
  <c r="Q16" i="11"/>
  <c r="P16" i="11"/>
  <c r="V15" i="11"/>
  <c r="U15" i="11"/>
  <c r="S15" i="11"/>
  <c r="K26" i="11" s="1"/>
  <c r="Q15" i="11"/>
  <c r="P15" i="11"/>
  <c r="V14" i="11"/>
  <c r="U14" i="11"/>
  <c r="Q14" i="11"/>
  <c r="P14" i="11"/>
  <c r="V13" i="11"/>
  <c r="U13" i="11"/>
  <c r="Q13" i="11"/>
  <c r="P13" i="11"/>
  <c r="V12" i="11"/>
  <c r="U12" i="11"/>
  <c r="Q12" i="11"/>
  <c r="P12" i="11"/>
  <c r="V11" i="11"/>
  <c r="U11" i="11"/>
  <c r="Q11" i="11"/>
  <c r="P11" i="11"/>
  <c r="V73" i="6"/>
  <c r="U73" i="6"/>
  <c r="Q73" i="6"/>
  <c r="P73" i="6"/>
  <c r="V72" i="6"/>
  <c r="U72" i="6"/>
  <c r="Q72" i="6"/>
  <c r="P72" i="6"/>
  <c r="P74" i="6"/>
  <c r="Q74" i="6"/>
  <c r="U74" i="6"/>
  <c r="V74" i="6"/>
  <c r="V71" i="6"/>
  <c r="U71" i="6"/>
  <c r="Q71" i="6"/>
  <c r="P71" i="6"/>
  <c r="V70" i="6"/>
  <c r="U70" i="6"/>
  <c r="Q70" i="6"/>
  <c r="P70" i="6"/>
  <c r="V59" i="6"/>
  <c r="U59" i="6"/>
  <c r="Q59" i="6"/>
  <c r="P59" i="6"/>
  <c r="V51" i="6"/>
  <c r="U51" i="6"/>
  <c r="Q51" i="6"/>
  <c r="P51" i="6"/>
  <c r="V54" i="6"/>
  <c r="U54" i="6"/>
  <c r="Q54" i="6"/>
  <c r="P54" i="6"/>
  <c r="V52" i="6"/>
  <c r="U52" i="6"/>
  <c r="Q52" i="6"/>
  <c r="P52" i="6"/>
  <c r="U11" i="6"/>
  <c r="V11" i="6"/>
  <c r="U12" i="6"/>
  <c r="V12" i="6"/>
  <c r="U13" i="6"/>
  <c r="V13" i="6"/>
  <c r="U14" i="6"/>
  <c r="V14" i="6"/>
  <c r="U15" i="6"/>
  <c r="V15" i="6"/>
  <c r="U16" i="6"/>
  <c r="V16" i="6"/>
  <c r="U17" i="6"/>
  <c r="V17" i="6"/>
  <c r="U18" i="6"/>
  <c r="V18" i="6"/>
  <c r="U19" i="6"/>
  <c r="V19" i="6"/>
  <c r="U22" i="6"/>
  <c r="V22" i="6"/>
  <c r="U23" i="6"/>
  <c r="V23" i="6"/>
  <c r="U24" i="6"/>
  <c r="V24" i="6"/>
  <c r="U25" i="6"/>
  <c r="V25" i="6"/>
  <c r="U26" i="6"/>
  <c r="V26" i="6"/>
  <c r="U27" i="6"/>
  <c r="V27" i="6"/>
  <c r="U28" i="6"/>
  <c r="V28" i="6"/>
  <c r="U30" i="6"/>
  <c r="V30" i="6"/>
  <c r="U31" i="6"/>
  <c r="V31" i="6"/>
  <c r="U32" i="6"/>
  <c r="V32" i="6"/>
  <c r="U33" i="6"/>
  <c r="V33" i="6"/>
  <c r="U34" i="6"/>
  <c r="V34" i="6"/>
  <c r="U35" i="6"/>
  <c r="V35" i="6"/>
  <c r="U36" i="6"/>
  <c r="V36" i="6"/>
  <c r="U37" i="6"/>
  <c r="V37" i="6"/>
  <c r="U38" i="6"/>
  <c r="V38" i="6"/>
  <c r="U39" i="6"/>
  <c r="V39" i="6"/>
  <c r="U41" i="6"/>
  <c r="V41" i="6"/>
  <c r="U42" i="6"/>
  <c r="V42" i="6"/>
  <c r="U43" i="6"/>
  <c r="V43" i="6"/>
  <c r="U44" i="6"/>
  <c r="V44" i="6"/>
  <c r="U45" i="6"/>
  <c r="V45" i="6"/>
  <c r="U46" i="6"/>
  <c r="V46" i="6"/>
  <c r="U47" i="6"/>
  <c r="V47" i="6"/>
  <c r="U48" i="6"/>
  <c r="V48" i="6"/>
  <c r="U49" i="6"/>
  <c r="V49" i="6"/>
  <c r="U50" i="6"/>
  <c r="V50" i="6"/>
  <c r="U60" i="6"/>
  <c r="V60" i="6"/>
  <c r="U69" i="6"/>
  <c r="V69" i="6"/>
  <c r="U55" i="6"/>
  <c r="V55" i="6"/>
  <c r="U56" i="6"/>
  <c r="V56" i="6"/>
  <c r="P11" i="6"/>
  <c r="Q11" i="6"/>
  <c r="P12" i="6"/>
  <c r="Q12" i="6"/>
  <c r="P13" i="6"/>
  <c r="Q13" i="6"/>
  <c r="P14" i="6"/>
  <c r="Q14" i="6"/>
  <c r="P15" i="6"/>
  <c r="Q15" i="6"/>
  <c r="P16" i="6"/>
  <c r="Q16" i="6"/>
  <c r="P17" i="6"/>
  <c r="Q17" i="6"/>
  <c r="P18" i="6"/>
  <c r="Q18" i="6"/>
  <c r="P19" i="6"/>
  <c r="Q19" i="6"/>
  <c r="P22" i="6"/>
  <c r="Q22" i="6"/>
  <c r="P23" i="6"/>
  <c r="Q23" i="6"/>
  <c r="P24" i="6"/>
  <c r="Q24" i="6"/>
  <c r="P25" i="6"/>
  <c r="Q25" i="6"/>
  <c r="P26" i="6"/>
  <c r="Q26" i="6"/>
  <c r="P27" i="6"/>
  <c r="Q27" i="6"/>
  <c r="P28" i="6"/>
  <c r="Q28" i="6"/>
  <c r="P30" i="6"/>
  <c r="Q30" i="6"/>
  <c r="P31" i="6"/>
  <c r="Q31" i="6"/>
  <c r="P32" i="6"/>
  <c r="Q32" i="6"/>
  <c r="P33" i="6"/>
  <c r="Q33" i="6"/>
  <c r="P34" i="6"/>
  <c r="Q34" i="6"/>
  <c r="P35" i="6"/>
  <c r="Q35" i="6"/>
  <c r="P36" i="6"/>
  <c r="Q36" i="6"/>
  <c r="P37" i="6"/>
  <c r="Q37" i="6"/>
  <c r="P38" i="6"/>
  <c r="Q38" i="6"/>
  <c r="P39" i="6"/>
  <c r="Q39" i="6"/>
  <c r="P41" i="6"/>
  <c r="Q41" i="6"/>
  <c r="P42" i="6"/>
  <c r="Q42" i="6"/>
  <c r="P43" i="6"/>
  <c r="Q43" i="6"/>
  <c r="P44" i="6"/>
  <c r="Q44" i="6"/>
  <c r="P45" i="6"/>
  <c r="Q45" i="6"/>
  <c r="P46" i="6"/>
  <c r="Q46" i="6"/>
  <c r="P47" i="6"/>
  <c r="Q47" i="6"/>
  <c r="P48" i="6"/>
  <c r="Q48" i="6"/>
  <c r="P49" i="6"/>
  <c r="Q49" i="6"/>
  <c r="P50" i="6"/>
  <c r="Q50" i="6"/>
  <c r="P60" i="6"/>
  <c r="Q60" i="6"/>
  <c r="P69" i="6"/>
  <c r="Q69" i="6"/>
  <c r="P55" i="6"/>
  <c r="Q55" i="6"/>
  <c r="P56" i="6"/>
  <c r="Q56" i="6"/>
  <c r="V10" i="6"/>
  <c r="U10" i="6"/>
  <c r="Q10" i="6"/>
  <c r="P10" i="6"/>
  <c r="S14" i="6"/>
  <c r="K58" i="6" s="1"/>
  <c r="F51" i="12" l="1"/>
  <c r="K51" i="12"/>
  <c r="F81" i="12"/>
  <c r="F50" i="12"/>
  <c r="K50" i="12"/>
  <c r="K81" i="12"/>
  <c r="F54" i="12"/>
  <c r="K54" i="12"/>
  <c r="K49" i="12"/>
  <c r="F53" i="12"/>
  <c r="K53" i="12"/>
  <c r="F49" i="12"/>
  <c r="F52" i="12"/>
  <c r="K52" i="12"/>
  <c r="F47" i="12"/>
  <c r="K29" i="6"/>
  <c r="F29" i="6"/>
  <c r="K40" i="6"/>
  <c r="F69" i="6"/>
  <c r="K69" i="6"/>
  <c r="K68" i="6"/>
  <c r="K66" i="6"/>
  <c r="K64" i="6"/>
  <c r="K62" i="6"/>
  <c r="F75" i="6"/>
  <c r="F21" i="6"/>
  <c r="F68" i="6"/>
  <c r="F66" i="6"/>
  <c r="F64" i="6"/>
  <c r="F62" i="6"/>
  <c r="K75" i="6"/>
  <c r="K67" i="6"/>
  <c r="K65" i="6"/>
  <c r="K63" i="6"/>
  <c r="K61" i="6"/>
  <c r="K21" i="6"/>
  <c r="F67" i="6"/>
  <c r="F65" i="6"/>
  <c r="F63" i="6"/>
  <c r="F61" i="6"/>
  <c r="K20" i="6"/>
  <c r="K47" i="12"/>
  <c r="F48" i="12"/>
  <c r="K48" i="12"/>
  <c r="K92" i="12"/>
  <c r="F92" i="12"/>
  <c r="K91" i="12"/>
  <c r="F89" i="12"/>
  <c r="K89" i="12"/>
  <c r="F16" i="12"/>
  <c r="F24" i="12"/>
  <c r="F25" i="12"/>
  <c r="F30" i="12"/>
  <c r="F32" i="12"/>
  <c r="F56" i="12"/>
  <c r="F59" i="12"/>
  <c r="F61" i="12"/>
  <c r="F64" i="12"/>
  <c r="F66" i="12"/>
  <c r="F70" i="12"/>
  <c r="F73" i="12"/>
  <c r="F86" i="12"/>
  <c r="F38" i="12"/>
  <c r="F40" i="12"/>
  <c r="F42" i="12"/>
  <c r="F44" i="12"/>
  <c r="K10" i="12"/>
  <c r="F34" i="12"/>
  <c r="K23" i="12"/>
  <c r="K26" i="12"/>
  <c r="K27" i="12"/>
  <c r="K28" i="12"/>
  <c r="K33" i="12"/>
  <c r="K35" i="12"/>
  <c r="K37" i="12"/>
  <c r="K57" i="12"/>
  <c r="K63" i="12"/>
  <c r="K65" i="12"/>
  <c r="K68" i="12"/>
  <c r="K85" i="12"/>
  <c r="K87" i="12"/>
  <c r="K39" i="12"/>
  <c r="K41" i="12"/>
  <c r="K43" i="12"/>
  <c r="K46" i="12"/>
  <c r="K12" i="12"/>
  <c r="F11" i="12"/>
  <c r="F13" i="12"/>
  <c r="K15" i="12"/>
  <c r="K18" i="12"/>
  <c r="K86" i="11"/>
  <c r="F86" i="11"/>
  <c r="F21" i="12"/>
  <c r="F33" i="12"/>
  <c r="F57" i="12"/>
  <c r="F63" i="12"/>
  <c r="F65" i="12"/>
  <c r="F68" i="12"/>
  <c r="F39" i="12"/>
  <c r="K14" i="12"/>
  <c r="K21" i="12"/>
  <c r="K69" i="12"/>
  <c r="K71" i="12"/>
  <c r="F75" i="12"/>
  <c r="F79" i="12"/>
  <c r="F83" i="12"/>
  <c r="F10" i="12"/>
  <c r="K17" i="12"/>
  <c r="F23" i="12"/>
  <c r="F27" i="12"/>
  <c r="F28" i="12"/>
  <c r="F35" i="12"/>
  <c r="F37" i="12"/>
  <c r="F69" i="12"/>
  <c r="F71" i="12"/>
  <c r="F78" i="12"/>
  <c r="K80" i="12"/>
  <c r="F85" i="12"/>
  <c r="K16" i="12"/>
  <c r="F20" i="12"/>
  <c r="F36" i="12"/>
  <c r="F76" i="12"/>
  <c r="F12" i="12"/>
  <c r="F14" i="12"/>
  <c r="F26" i="12"/>
  <c r="F74" i="12"/>
  <c r="F87" i="12"/>
  <c r="F41" i="12"/>
  <c r="F43" i="12"/>
  <c r="F46" i="12"/>
  <c r="K11" i="12"/>
  <c r="K13" i="12"/>
  <c r="F15" i="12"/>
  <c r="F17" i="12"/>
  <c r="F18" i="12"/>
  <c r="F19" i="12"/>
  <c r="K20" i="12"/>
  <c r="K24" i="12"/>
  <c r="K25" i="12"/>
  <c r="K30" i="12"/>
  <c r="K32" i="12"/>
  <c r="K34" i="12"/>
  <c r="K36" i="12"/>
  <c r="K56" i="12"/>
  <c r="K59" i="12"/>
  <c r="K61" i="12"/>
  <c r="K64" i="12"/>
  <c r="K66" i="12"/>
  <c r="K70" i="12"/>
  <c r="K73" i="12"/>
  <c r="F77" i="12"/>
  <c r="F80" i="12"/>
  <c r="K86" i="12"/>
  <c r="K38" i="12"/>
  <c r="K40" i="12"/>
  <c r="K42" i="12"/>
  <c r="K44" i="12"/>
  <c r="K60" i="11"/>
  <c r="F60" i="11"/>
  <c r="F96" i="11"/>
  <c r="F112" i="11"/>
  <c r="F116" i="11"/>
  <c r="F117" i="11"/>
  <c r="F118" i="11"/>
  <c r="F114" i="11"/>
  <c r="F61" i="11"/>
  <c r="F97" i="11"/>
  <c r="F115" i="11"/>
  <c r="K61" i="11"/>
  <c r="F85" i="11"/>
  <c r="K85" i="11"/>
  <c r="F103" i="11"/>
  <c r="F102" i="11"/>
  <c r="K103" i="11"/>
  <c r="K102" i="11"/>
  <c r="F64" i="11"/>
  <c r="K64" i="11"/>
  <c r="F101" i="11"/>
  <c r="F100" i="11"/>
  <c r="K101" i="11"/>
  <c r="K100" i="11"/>
  <c r="F52" i="11"/>
  <c r="K52" i="11"/>
  <c r="F47" i="11"/>
  <c r="K47" i="11"/>
  <c r="K23" i="11"/>
  <c r="F23" i="11"/>
  <c r="K22" i="11"/>
  <c r="F22" i="11"/>
  <c r="F27" i="11"/>
  <c r="K28" i="11"/>
  <c r="F28" i="11"/>
  <c r="K29" i="11"/>
  <c r="F29" i="11"/>
  <c r="F26" i="11"/>
  <c r="F25" i="11"/>
  <c r="K30" i="11"/>
  <c r="K25" i="11"/>
  <c r="F30" i="11"/>
  <c r="F12" i="11"/>
  <c r="F14" i="11"/>
  <c r="K15" i="11"/>
  <c r="K16" i="11"/>
  <c r="K18" i="11"/>
  <c r="K20" i="11"/>
  <c r="K33" i="11"/>
  <c r="K35" i="11"/>
  <c r="K37" i="11"/>
  <c r="K39" i="11"/>
  <c r="K41" i="11"/>
  <c r="K43" i="11"/>
  <c r="K45" i="11"/>
  <c r="K50" i="11"/>
  <c r="K55" i="11"/>
  <c r="K57" i="11"/>
  <c r="K74" i="11"/>
  <c r="K89" i="11"/>
  <c r="F17" i="11"/>
  <c r="F20" i="11"/>
  <c r="F36" i="11"/>
  <c r="F38" i="11"/>
  <c r="F42" i="11"/>
  <c r="F56" i="11"/>
  <c r="F65" i="11"/>
  <c r="F68" i="11"/>
  <c r="F72" i="11"/>
  <c r="F81" i="11"/>
  <c r="F98" i="11"/>
  <c r="F109" i="11"/>
  <c r="F77" i="11"/>
  <c r="F78" i="11"/>
  <c r="F59" i="11"/>
  <c r="K11" i="11"/>
  <c r="K12" i="11"/>
  <c r="K13" i="11"/>
  <c r="K14" i="11"/>
  <c r="F16" i="11"/>
  <c r="F18" i="11"/>
  <c r="F19" i="11"/>
  <c r="F21" i="11"/>
  <c r="F33" i="11"/>
  <c r="F34" i="11"/>
  <c r="F35" i="11"/>
  <c r="F37" i="11"/>
  <c r="F39" i="11"/>
  <c r="F40" i="11"/>
  <c r="F41" i="11"/>
  <c r="F43" i="11"/>
  <c r="F44" i="11"/>
  <c r="F45" i="11"/>
  <c r="F50" i="11"/>
  <c r="F55" i="11"/>
  <c r="F57" i="11"/>
  <c r="F69" i="11"/>
  <c r="F74" i="11"/>
  <c r="F89" i="11"/>
  <c r="K106" i="11"/>
  <c r="K76" i="11"/>
  <c r="K116" i="11"/>
  <c r="K118" i="11"/>
  <c r="F20" i="6"/>
  <c r="F11" i="11"/>
  <c r="F15" i="11"/>
  <c r="F94" i="11"/>
  <c r="F83" i="11"/>
  <c r="F91" i="11"/>
  <c r="F95" i="11"/>
  <c r="F13" i="11"/>
  <c r="K69" i="11"/>
  <c r="K82" i="11"/>
  <c r="F106" i="11"/>
  <c r="F76" i="11"/>
  <c r="K17" i="11"/>
  <c r="K19" i="11"/>
  <c r="K21" i="11"/>
  <c r="K34" i="11"/>
  <c r="K36" i="11"/>
  <c r="K38" i="11"/>
  <c r="K40" i="11"/>
  <c r="K42" i="11"/>
  <c r="K44" i="11"/>
  <c r="K56" i="11"/>
  <c r="K65" i="11"/>
  <c r="K68" i="11"/>
  <c r="K72" i="11"/>
  <c r="K81" i="11"/>
  <c r="K83" i="11"/>
  <c r="F92" i="11"/>
  <c r="F82" i="11"/>
  <c r="F93" i="11"/>
  <c r="K98" i="11"/>
  <c r="K109" i="11"/>
  <c r="K77" i="11"/>
  <c r="K78" i="11"/>
  <c r="K117" i="11"/>
  <c r="K59" i="11"/>
  <c r="F57" i="6"/>
  <c r="K57" i="6"/>
  <c r="F58" i="6"/>
  <c r="K71" i="6"/>
  <c r="F73" i="6"/>
  <c r="F71" i="6"/>
  <c r="K73" i="6"/>
  <c r="F52" i="6"/>
  <c r="F54" i="6"/>
  <c r="K54" i="6"/>
  <c r="K52" i="6"/>
  <c r="F27" i="6"/>
  <c r="F15" i="6"/>
  <c r="K33" i="6"/>
  <c r="K14" i="6"/>
  <c r="K46" i="6"/>
  <c r="F49" i="6"/>
  <c r="F34" i="6"/>
  <c r="F13" i="6"/>
  <c r="K28" i="6"/>
  <c r="F36" i="6"/>
  <c r="F25" i="6"/>
  <c r="K37" i="6"/>
  <c r="F43" i="6"/>
  <c r="F17" i="6"/>
  <c r="K50" i="6"/>
  <c r="K34" i="6"/>
  <c r="K18" i="6"/>
  <c r="K60" i="6"/>
  <c r="K15" i="6"/>
  <c r="F60" i="6"/>
  <c r="K56" i="6"/>
  <c r="K48" i="6"/>
  <c r="K44" i="6"/>
  <c r="K42" i="6"/>
  <c r="K39" i="6"/>
  <c r="K35" i="6"/>
  <c r="K31" i="6"/>
  <c r="K26" i="6"/>
  <c r="K24" i="6"/>
  <c r="K22" i="6"/>
  <c r="K16" i="6"/>
  <c r="K12" i="6"/>
  <c r="F19" i="6"/>
  <c r="K11" i="6"/>
  <c r="K17" i="6"/>
  <c r="K30" i="6"/>
  <c r="K36" i="6"/>
  <c r="K47" i="6"/>
  <c r="F32" i="6"/>
  <c r="K43" i="6"/>
  <c r="K27" i="6"/>
  <c r="K49" i="6"/>
  <c r="K25" i="6"/>
  <c r="F47" i="6"/>
  <c r="F30" i="6"/>
  <c r="F11" i="6"/>
  <c r="K32" i="6"/>
  <c r="K19" i="6"/>
  <c r="K13" i="6"/>
  <c r="F56" i="6"/>
  <c r="F50" i="6"/>
  <c r="F44" i="6"/>
  <c r="F39" i="6"/>
  <c r="F35" i="6"/>
  <c r="F31" i="6"/>
  <c r="F24" i="6"/>
  <c r="F12" i="6"/>
  <c r="F48" i="6"/>
  <c r="F46" i="6"/>
  <c r="F42" i="6"/>
  <c r="F37" i="6"/>
  <c r="F33" i="6"/>
  <c r="F28" i="6"/>
  <c r="F26" i="6"/>
  <c r="F22" i="6"/>
  <c r="F18" i="6"/>
  <c r="F16" i="6"/>
  <c r="F14" i="6"/>
  <c r="F10" i="6"/>
  <c r="K10" i="6"/>
</calcChain>
</file>

<file path=xl/sharedStrings.xml><?xml version="1.0" encoding="utf-8"?>
<sst xmlns="http://schemas.openxmlformats.org/spreadsheetml/2006/main" count="560" uniqueCount="263">
  <si>
    <t>Source</t>
  </si>
  <si>
    <t>Event</t>
  </si>
  <si>
    <t>L</t>
  </si>
  <si>
    <t>C</t>
  </si>
  <si>
    <t>Rating</t>
  </si>
  <si>
    <t>Initial Risk</t>
  </si>
  <si>
    <t>Risk</t>
  </si>
  <si>
    <t>Proposed Control Measures</t>
  </si>
  <si>
    <t>Revised Risk</t>
  </si>
  <si>
    <t>Options</t>
  </si>
  <si>
    <t>Considerations</t>
  </si>
  <si>
    <t>Selected</t>
  </si>
  <si>
    <t>Actions</t>
  </si>
  <si>
    <t>Who</t>
  </si>
  <si>
    <t>What</t>
  </si>
  <si>
    <t>TC escape bath is blocked / obstructed</t>
  </si>
  <si>
    <t>TTM staff fatigue / heat exhaustion / dehydration</t>
  </si>
  <si>
    <t>TTM devices block sight lines for vehicles entering / exiting properties</t>
  </si>
  <si>
    <t>Traffic queues extend through nearby intersections / roundabouts</t>
  </si>
  <si>
    <t>TTM staff hit by mobile plant / works vehicles</t>
  </si>
  <si>
    <t>Emergency vehicle access to the worksite not clear</t>
  </si>
  <si>
    <t>Unscheduled deliveries</t>
  </si>
  <si>
    <t>Works run over time</t>
  </si>
  <si>
    <t>TTM staff hit by traffic</t>
  </si>
  <si>
    <t>TGS and site works not aligned with works not adequately protected</t>
  </si>
  <si>
    <t>Limited clearance to traffic</t>
  </si>
  <si>
    <t>Public Transport</t>
  </si>
  <si>
    <t>Traffic Impacts</t>
  </si>
  <si>
    <t>Detoured traffic experiences unacceptable delays</t>
  </si>
  <si>
    <t>Property Access</t>
  </si>
  <si>
    <t>Works occur at innapporiate times of the day</t>
  </si>
  <si>
    <t>Extended shift length leads to staff fatugue</t>
  </si>
  <si>
    <t>Shadowing, fog, glare, inclement weather, smoke</t>
  </si>
  <si>
    <t>Night works</t>
  </si>
  <si>
    <t>Reduced legibilty of worksite</t>
  </si>
  <si>
    <t>Visual overload with retroflective devices</t>
  </si>
  <si>
    <t>Speed choices</t>
  </si>
  <si>
    <t>Emergency Vehicles</t>
  </si>
  <si>
    <t>Traffic incidents</t>
  </si>
  <si>
    <t>Worker strays into live traffic</t>
  </si>
  <si>
    <t>Risk to workers during installation / modification / removal of TTM</t>
  </si>
  <si>
    <t>Radio communiction disruption / lack of clarity</t>
  </si>
  <si>
    <t>Vulnerable Road Users - pedestrians, cyclists, people with disabilities and wheeled path users</t>
  </si>
  <si>
    <t>VRUs cross roads in an unsafe manner at unsigned locations</t>
  </si>
  <si>
    <t>VRUs diverted to a detour route which is an unacceptable length with a lower likelihood of VRUs using the defined route</t>
  </si>
  <si>
    <t xml:space="preserve">VRUs following unfamiliar and illegible paths due to lack of clear direction interact with work site vehicles, equipment or other vehicles moving through the site.  </t>
  </si>
  <si>
    <t>VRUs confused by TTM layout and follow incorrect route into site</t>
  </si>
  <si>
    <t>VRUs confused by TTM layout or path direction is not clear - and follow unsafe route around site</t>
  </si>
  <si>
    <t>Works impact on existing crossings resulting in VRU unable to use the existing crossing route</t>
  </si>
  <si>
    <t>VRUs entering live traffic lanes in unsafe locations</t>
  </si>
  <si>
    <t>Safe school crossing practices compromised resulting in children crossing the road in an an unsafe and unpredictable manner in and around the site</t>
  </si>
  <si>
    <t>Likelihood Ratings</t>
  </si>
  <si>
    <t>Almost Certain</t>
  </si>
  <si>
    <t>Likely</t>
  </si>
  <si>
    <t>Possible</t>
  </si>
  <si>
    <t>Unlikely</t>
  </si>
  <si>
    <t>Rare</t>
  </si>
  <si>
    <t>Consequence ratings</t>
  </si>
  <si>
    <t>Catastrophic</t>
  </si>
  <si>
    <t>Major</t>
  </si>
  <si>
    <t>Moderate</t>
  </si>
  <si>
    <t>Minor</t>
  </si>
  <si>
    <t>Insignificant</t>
  </si>
  <si>
    <t>Risk Matrix</t>
  </si>
  <si>
    <t>Very High</t>
  </si>
  <si>
    <t>High</t>
  </si>
  <si>
    <t>Medium</t>
  </si>
  <si>
    <t>Low</t>
  </si>
  <si>
    <t>Negligible</t>
  </si>
  <si>
    <t>Initial Scores</t>
  </si>
  <si>
    <t>Altered crossing is not clear to path users leading to unpredictable pedestrian behaviour when crossing roads</t>
  </si>
  <si>
    <t>Site access for construction vehicles is not clearly defined / managed</t>
  </si>
  <si>
    <t>Passing traffic inadvertently enters worksites leading to worker injury due to unexpected vehicle entry to worksite</t>
  </si>
  <si>
    <t>Excessive length of worksite, including rural areas</t>
  </si>
  <si>
    <t>Infrequently used property access in the middle of the site may not be adequately monitored resulting in unsafe site entry</t>
  </si>
  <si>
    <t>Dangerous / agressive driver behaviour resulting from excessive length of queues because of time needed to manage reversible flow leading to lack of community / road user acceptance of the worksite</t>
  </si>
  <si>
    <t>Long queues combined with inadequate warning of traffic queue results in collision at end of queue</t>
  </si>
  <si>
    <t>Detouring of traffic from a major or multi-lane road</t>
  </si>
  <si>
    <t>Volume of detoured traffic has unacceptable impact on surrounding areas including 
 - property and business access is compromised
 - Increased volume of traffic on residential streets leading to   
    compromised safety outcomes for residents</t>
  </si>
  <si>
    <t>Works lead to excessive traffic queues and delays leads to unacceptably long delays to road users</t>
  </si>
  <si>
    <t>Aggressive driver behaviour and lack of community acceptance of worksite</t>
  </si>
  <si>
    <t>Traffic volumes not suitably accommodaed leading to congestion / delays exceeds allowable levels</t>
  </si>
  <si>
    <t>Closure of turning movements and banning of movements at intersections</t>
  </si>
  <si>
    <t>Emergency vehicles access past the works area is blocked by works activities or queued traffic leading to unacceptable delays to emergency vehicles</t>
  </si>
  <si>
    <t>Extended delay to attend to injured workers or road users at the worksite</t>
  </si>
  <si>
    <t>Interference with the operation of permanent traffic signals</t>
  </si>
  <si>
    <t>Compromised legibility of traffic controls for road users leads to road user confusion leading to increased likelihood of traffic incidents</t>
  </si>
  <si>
    <t>Increased congestion due to works results in queued traffic through signalised intersections leading to unsafe operation of the intersection</t>
  </si>
  <si>
    <t>Closure of turning movements with no clear alternative leads to road user confusion and increased likelihood of traffic incidents</t>
  </si>
  <si>
    <t>Volume of detoured traffic has unacceptable impact on surrounding areas including 
 - property and business access is compromised
 - Increased congestion on other parts of the road network 
    leading to compromised safety outcomes</t>
  </si>
  <si>
    <t>Sight distance or vision of road user compromised on approach to worksite results in road user unable to respond in a timely manner to the hazard ahead</t>
  </si>
  <si>
    <t>Works lead to excessive and unacceptable traffic queues and delays.  Can be due to 
 - not maintaining min 
    available req. lanes
 - closure of high volume
    roads</t>
  </si>
  <si>
    <t>Site in operation during times of night / low visibility</t>
  </si>
  <si>
    <t>Periods in which work can and cannot occur</t>
  </si>
  <si>
    <t>Worksite operations</t>
  </si>
  <si>
    <t>Work occurs at inappropriate times of the day
 - Disruption of residential areas
 - Interference with known peak traffic times
 - Frequent interference with usual business activity
 - Dust and noise impacts on surrounding areas</t>
  </si>
  <si>
    <t>Staff fatigue leads to decreased concentration of road workers leading to increased likelihood of incidents</t>
  </si>
  <si>
    <t>TMP implemention for excessive time within a single shift</t>
  </si>
  <si>
    <t>Reductions in speed limits, considering the safety of workers and road users are not considered credible to drivers</t>
  </si>
  <si>
    <t>Road users travel at inappropriate speeds due to lack of understanding of applicable speed limits leads to increased likelihood and severity of incidents</t>
  </si>
  <si>
    <t>Likelihood</t>
  </si>
  <si>
    <t>Consequence</t>
  </si>
  <si>
    <t>Works impact on existing path routes resulting in VRU unable to pass the site safely using existing paths</t>
  </si>
  <si>
    <t>Schools, clubs or other facilities that may generate high volumes of pedestrian or cycle traffic</t>
  </si>
  <si>
    <t>Facilities such as hotels or taverns where pedestrians may have their judgement impaired</t>
  </si>
  <si>
    <t>Temporary or impacted path route has inadequate capacity leading to VRUs crossing at unsafe locations or travelling along the road leading to conflicts between path users and traffic, or to conflicts between VRUs and worksite hazards, plant movements or unsuitable routes</t>
  </si>
  <si>
    <t>VRUs may be confused by temporary alternative routes and enter the worksite of live traffic lanes at unsafe locations</t>
  </si>
  <si>
    <t>VRUs use a temporary path route which has a surface not appropriate for wheeled path users, visually impaired and VRU with mobility issues.  Results in trip or fall hazards</t>
  </si>
  <si>
    <t xml:space="preserve">Site Access </t>
  </si>
  <si>
    <t>Closure or roads or turn movements at intersections affects adjoining properties with access near or at the site</t>
  </si>
  <si>
    <t xml:space="preserve">Vehicle access to properties compromised by road closures or delays leads to decreasd community acceptance of the presence of the worksite. </t>
  </si>
  <si>
    <t>Extended queue lengths, or road alignment factors affect sight distance to the end of queue, leads to netowrk crash risks</t>
  </si>
  <si>
    <t>Features at the site reduce sight distance or vision of TTM devices</t>
  </si>
  <si>
    <t>Volume of traffic in remaining lanes is unacceptably high leading to traffic queues extend through nearby intersections / roundabouts</t>
  </si>
  <si>
    <t>Multilane roads with inadequate median width to not allow duplication of devices in the median</t>
  </si>
  <si>
    <t xml:space="preserve">Drivers in right lane(s) do not have visibility of TTM devices placed on the left verge and are unaware of the approproaching worksite or the apporpriate actions they are required to take leading to potential late unsafe merging movements or entry to the worksite.  </t>
  </si>
  <si>
    <t>Public transport stops and routes located in works area - impact on provision of usual services</t>
  </si>
  <si>
    <t>Negative community perception of the impact of the worksite</t>
  </si>
  <si>
    <t>Unpredictable public transport vehicle movements and passenger movements near the worksite</t>
  </si>
  <si>
    <t xml:space="preserve">Construction vehicles stop / queue in unsafe locations causes conflicts with VRUs or congestion for passing traffic </t>
  </si>
  <si>
    <t>Specifications / standards / practices</t>
  </si>
  <si>
    <t>Clarity of applicable specifications, standards, rules and policies including conflict between requirements from RIM / PCBU etc.  Documentation of superceded standards.</t>
  </si>
  <si>
    <t>Application of incorrect or expired specifications, standards, rules and policies leads to confusion regarding mandatory safety regulations leading to inconsistent application and worksite not in line with required safety standards</t>
  </si>
  <si>
    <t>Stakeholders</t>
  </si>
  <si>
    <t>Stakeholders inadequately consulted regarding the project and its impacts leading to opposition to project</t>
  </si>
  <si>
    <t>Delays as complaints are addressed and resolved</t>
  </si>
  <si>
    <t>Works taking place during seasons with increased pssibility of electrical storms</t>
  </si>
  <si>
    <t>Lightning risk to TC and other staff causes delays to works schedule or completion of works within defined daily time restrictions</t>
  </si>
  <si>
    <t>Reduced visibility for approaching traffic - increased risk to road users and road workers</t>
  </si>
  <si>
    <t>Environmential and site features</t>
  </si>
  <si>
    <t>Existing signage, pavement markings and other features conflict with the proposed TTM treatments</t>
  </si>
  <si>
    <t>Compomised legibility of worksite leads ot driver confusion</t>
  </si>
  <si>
    <t>Vegetation obscures positioning of signs and devices</t>
  </si>
  <si>
    <t xml:space="preserve">Road users is unaware of the approaching worksite and potential queues leading ot collision.  </t>
  </si>
  <si>
    <t xml:space="preserve">Road users unable to adequately comprehend messages and react in time leading to potential injury to road users and workers or damage at the works site.  </t>
  </si>
  <si>
    <t xml:space="preserve">Construction vehicles use inapporpriate entry and exit points leading to colisions with traffic.  </t>
  </si>
  <si>
    <t>Site constraints with no escape route for workers or traffic controllers</t>
  </si>
  <si>
    <t xml:space="preserve">Workers cannot escape traffic incidents on site and are injured by vehicle intrusion into the site.  </t>
  </si>
  <si>
    <t>Rural property access and stock crossings within the worksite</t>
  </si>
  <si>
    <t>disruption of essential stock crossing movemenets and disruption of local rural economic activity</t>
  </si>
  <si>
    <t>Low quality road surfacing</t>
  </si>
  <si>
    <t>Damage to vehicles and worksite equipment</t>
  </si>
  <si>
    <t>Parking facilities exist within the proposed worksite</t>
  </si>
  <si>
    <t xml:space="preserve">Reduction in available parking facilities leads to illegal or unsafe parking practices in and around the worksite.  </t>
  </si>
  <si>
    <t>Heavy / Oversize vehilcles</t>
  </si>
  <si>
    <t>Accommodation of truck traffic and over-sized loads</t>
  </si>
  <si>
    <t>High cycle volumes on road or in defined bicycle lane / shoulder which is impacted by works</t>
  </si>
  <si>
    <t>Cyclist transition to footpath does not occur at a safe location leading to possible cyclist injury or conflict with other path users</t>
  </si>
  <si>
    <t xml:space="preserve">Cyclist merge with general traffic lanes at unsafe location or in unsafe manner leading to collision with other road vehicles.  </t>
  </si>
  <si>
    <t>Planning Phase items - need to be considered/reviewed in design phase as well unless closed out or deemed not applicable in planning phase</t>
  </si>
  <si>
    <t>Additional design phase items</t>
  </si>
  <si>
    <t>Alternative path route is a lesser quality / standard than impacted route creating slip / trip / fall hazards for path users or hazards when path users need to pass each other
 - path width 
 - path surface
 - path grade
 - lighting</t>
  </si>
  <si>
    <t>Works impact on existing path routes - pedestrians diverted to alternative existing path routes</t>
  </si>
  <si>
    <t>Works impact on existing path routes - pedestrians diverted to temporary path routes</t>
  </si>
  <si>
    <t>Temporary path route is a lesser quality / standard than impacted route creating slip / trip / fall hazards for path users or hazards when path users need to pass each other
 - path width 
 - path surface
 - path grade
 - lighting</t>
  </si>
  <si>
    <t>Works impact on existing path routes - pedestrians diverted across roads at new or existing crossing points</t>
  </si>
  <si>
    <t>Alternative / Temporary crossing of roads creating conflict with traffic due to
 - inadequate controls for pedestrians in periods of high traffic
 - inadeqate sight distance at crossing points
 - indequate ramps / transition from path to road</t>
  </si>
  <si>
    <t>Works impact on existing path routes - pedestrians diverted to temporary route on the road surface</t>
  </si>
  <si>
    <t>Collision between diverted path users and traffic due to
 - inadequate separation between traffic and pedestrians
 - inadequate reduction in vehicle speeds past the worksite
 - inadequate protection / barriers to separate path from road</t>
  </si>
  <si>
    <t>Temporary path route ot TTM devices restrict sight distances between pathways and intersections, driveways and site access points</t>
  </si>
  <si>
    <t>VRUs and/or drivers unable to see potential conflict situations leading to collisions</t>
  </si>
  <si>
    <t xml:space="preserve">TTM devices and signage are located in road shoulders, bicycle lanes, or immediately adjaent to paths </t>
  </si>
  <si>
    <t>Risk to cyclists using the road corridor
 - colliding with TTM devices
 - being diverted unsafely into traffic lanes
 - being diverted to alternative facilities at unsafe locations</t>
  </si>
  <si>
    <t>Site features including road surface, road geometry, lane widths and proximity of plant and TTM devices to traffic are a hazard to traffic at permanent posted speed</t>
  </si>
  <si>
    <t>Speed of traffic through the site is not safe for all road users during the works</t>
  </si>
  <si>
    <t>Site &amp; environmental features</t>
  </si>
  <si>
    <t>Excavations, stockpiles, barriers, plant lay-up and work locations</t>
  </si>
  <si>
    <t xml:space="preserve">Hazard to drivers who inadvertantly enter the worksite, particularly at changes in road alignment (curves, merges, lateral shifts) </t>
  </si>
  <si>
    <t>Obstructions reducing sight distance along road alignment including barriers, stockpiles, gawk screens, and plant items</t>
  </si>
  <si>
    <t>Inadequate sight distance for road users who are unable to avoid colliding with obstructions on the road or other vehicles who have stopped / slowed</t>
  </si>
  <si>
    <t>inadequate lane widths, provision for turning movements or vertical alignments leads to vehicles unable to negotiate defined traffic route and collide with other vehicles or worksite devices / plant</t>
  </si>
  <si>
    <t>Temporary Traffic Management Devices</t>
  </si>
  <si>
    <t>Complex traffic arrangements requiring unusual sign arrangements, detailed VMS messages or multiple signs for a single hazard</t>
  </si>
  <si>
    <t xml:space="preserve">Road users misunderstand the intention of traffic control devices causing confusion.  </t>
  </si>
  <si>
    <t>Insufficient information conveyed to road users of the complex traffic arrangements leading to confusion</t>
  </si>
  <si>
    <t>Unexpected changes in traffic volumes</t>
  </si>
  <si>
    <t>Increased congestion / delays leads to dangerous / agrssive driver behaviour and increased potential for wide network impacts and collisions</t>
  </si>
  <si>
    <t>Works activities or changes in alignment of traffic lanes impacts on existing road lighting of the alignment</t>
  </si>
  <si>
    <t xml:space="preserve">Reduced lighting of temporary alignments, or removal of permanent lighting increases potential collisions between traffic and obstacles on the road and other road users such as VRUs.  </t>
  </si>
  <si>
    <t>Works activities or changes in alignment of traffic lanes impacts on existing drainage of the alignment</t>
  </si>
  <si>
    <t xml:space="preserve">Increased water flow across the road surface or ponding of water on the road surface reduces road traction leading to loss of control by road users.  </t>
  </si>
  <si>
    <t xml:space="preserve">Reduced TTM device effectiveness creating potential confusion or hazardous situations and conflicts.  </t>
  </si>
  <si>
    <t xml:space="preserve">Road features makes it difficult for signs to be placed correctly </t>
  </si>
  <si>
    <t>TTM devices dislodged or removed due to wind, passing traffic, theft, vandalism</t>
  </si>
  <si>
    <t>Road alignment results in complex requirements for the alignment of TTM devies to ensure their visibility and comprehension by the intended road users</t>
  </si>
  <si>
    <t xml:space="preserve">Potential collisiopns between enetering / exiting traffic and through traffic on the road.  </t>
  </si>
  <si>
    <t>Complex works activities with multiple different TTM stages / TGS diagrams</t>
  </si>
  <si>
    <t>Congestion at entry leads</t>
  </si>
  <si>
    <t>Impacts on traffic flow creating wider network impacts and potential for collisions</t>
  </si>
  <si>
    <t xml:space="preserve">Construction vehicles use inappropriate entry and exit points leading to colisions with traffic.  </t>
  </si>
  <si>
    <t>Exit from work site to high speed roads</t>
  </si>
  <si>
    <t>Insufficient acceleration length leads to unsafe exit to the traffic stream and collisions with through traffic</t>
  </si>
  <si>
    <t>Incident in / near the work area involving a road accident, breakdown or crash into the worksite</t>
  </si>
  <si>
    <t xml:space="preserve">Impacts on works activities, ability to complete works on time, and wider network imacts and delays.  </t>
  </si>
  <si>
    <t>Complex works require extended experience from field staff to ensure correct implementation</t>
  </si>
  <si>
    <t xml:space="preserve">TTM devices are not installed in the correct location, order or to ensure effectiveness for the intended users leading to reduced comprehension by road users.  </t>
  </si>
  <si>
    <t xml:space="preserve">Parked vehicles obstruct TTM devices or create hazardous situtations within the worksite.  </t>
  </si>
  <si>
    <t>Unidentified path or unformed pedestrian route impacted by the works</t>
  </si>
  <si>
    <t xml:space="preserve">VRUs use a temporary path route which is not planned / designed.  Results in trip or fall hazards or following unsafe route.  </t>
  </si>
  <si>
    <t xml:space="preserve">Near miss incidents or dangerous crossing movements creating unsafe conflicts with traffic.  </t>
  </si>
  <si>
    <t>Pedestrians may have their judgement impaired by alcholol / drugs</t>
  </si>
  <si>
    <t>Cyclist transition to footpath or road in a dangerous manner</t>
  </si>
  <si>
    <t>Works activities impact on existing or temporary path routes</t>
  </si>
  <si>
    <t>Path route is damaged creating slip / trip / fall hazards for path users or hazards when path users need to pass each other</t>
  </si>
  <si>
    <t xml:space="preserve">Collision between diverted path users and traffic </t>
  </si>
  <si>
    <t>TTM devices restrict sight distances between pathways and intersections, driveways and site access points</t>
  </si>
  <si>
    <t xml:space="preserve">Works lead to excessive and unacceptable traffic queues and delays. </t>
  </si>
  <si>
    <t>Queued traffic through signalised intersections leading to unsafe operation of the intersection</t>
  </si>
  <si>
    <t xml:space="preserve">Road user confusion, illegal traffic movements and traffic driving through the worksite.  </t>
  </si>
  <si>
    <t>Reductions in speed limits, considering the safety of workers and road users</t>
  </si>
  <si>
    <t>Road users travel at inappropriate speeds</t>
  </si>
  <si>
    <t>Traffic unable to respond in a timely manner to the hazard ahead</t>
  </si>
  <si>
    <t>Works extend outside of approved hours</t>
  </si>
  <si>
    <t>Interference with traffic flows, business activity and residents</t>
  </si>
  <si>
    <t>TTM implemention for excessive time within a single shift</t>
  </si>
  <si>
    <t>Qualifications for all field staff to meet minium requirements specified</t>
  </si>
  <si>
    <t xml:space="preserve">Field staff not complying with detailed requirements for more complex works create hazards for themselves and others.  </t>
  </si>
  <si>
    <t>Public transport stops and routes</t>
  </si>
  <si>
    <t xml:space="preserve">Passenger and public transport vehicle movements occur in hazardous locations.  </t>
  </si>
  <si>
    <t xml:space="preserve">Construction vehicles stop / queue in unsafe locations causes </t>
  </si>
  <si>
    <t xml:space="preserve">Construction vehicles use inappropriate entry and exit points </t>
  </si>
  <si>
    <t xml:space="preserve">Passing traffic inadvertently enters worksites leading to worker injury </t>
  </si>
  <si>
    <t>Road users attempting to access properties compromised by road closures or delays</t>
  </si>
  <si>
    <t xml:space="preserve">Illegal or unsafe parking practices in and around the worksite.  </t>
  </si>
  <si>
    <t xml:space="preserve">inadequate sight distance able to be achieved leading to hazardous road user situations.  </t>
  </si>
  <si>
    <t>Sight distance to all TTM devices obscured by vegetation, curves, crests or other obstructions</t>
  </si>
  <si>
    <t>Driver confusion</t>
  </si>
  <si>
    <t xml:space="preserve">Lightning risk to TC and other staff </t>
  </si>
  <si>
    <t>Electrical storms</t>
  </si>
  <si>
    <t>Reduced understanding of worksite</t>
  </si>
  <si>
    <t>Obstructions reducing sight distance for road users along road alignment including barriers, stockpiles, gawk screens, and plant items</t>
  </si>
  <si>
    <t>Unexpected over-sized loads</t>
  </si>
  <si>
    <t>Inadequate lane widths leads to vehicles unable to negotiate defined traffic route and collide with other vehicles or worksite devices / plant</t>
  </si>
  <si>
    <t>Vehicles running into the site through delineation</t>
  </si>
  <si>
    <t>TTM staff operating near works vehicles and plant</t>
  </si>
  <si>
    <t>Injury to road user</t>
  </si>
  <si>
    <t xml:space="preserve">Injury to TC if vehicle does not stop at correct location.  </t>
  </si>
  <si>
    <t>Delays to works</t>
  </si>
  <si>
    <t>Extended shift time or uncomfortable weather conditions</t>
  </si>
  <si>
    <t>Constrained site</t>
  </si>
  <si>
    <t>Staff complacency due to repetitive work tasks</t>
  </si>
  <si>
    <t>Workers underestiamte the hazards that they expose themselves to and operate outside of approved safe works procedures</t>
  </si>
  <si>
    <t>Dedicated roles such as lookout persons</t>
  </si>
  <si>
    <t xml:space="preserve">Inappropriate separation of tasks leads to additional tasks being undertaken and lookout role not being undertaken as required.  </t>
  </si>
  <si>
    <t>Detouring of traffic onto roads with height, length or weight restrictions</t>
  </si>
  <si>
    <t>Some detoured vehicles cannot negotiate the defined detour creating
 - delays and congestion while reversing or turning
 - damage to infrastructure
 - collisions with other vehicles</t>
  </si>
  <si>
    <t>Special work speed limits less than 40km/h required for specific hazards</t>
  </si>
  <si>
    <t>TC operations mistakenly releasing traffic early before last vehicle in opposing direction has passed</t>
  </si>
  <si>
    <t>Risk of collision between traffic traveling in opposite directions</t>
  </si>
  <si>
    <t xml:space="preserve">Rough surface alongside worksite where TTM staff are oparating </t>
  </si>
  <si>
    <t>Slips, trips and falls</t>
  </si>
  <si>
    <t>Works vehicles undertaking U-turns or turning movements at inappropriate locations</t>
  </si>
  <si>
    <t>Collisions with other traffic travelling past the site</t>
  </si>
  <si>
    <t>Workers crossing the road in in apporpriate locations</t>
  </si>
  <si>
    <t>Risk of injury from collision with traffic travelling past the site</t>
  </si>
  <si>
    <t>TC operations near bridges and waterways restrict escape paths</t>
  </si>
  <si>
    <t>increased potential for colliisions with obstructions on the road or other vehicles who have stopped / slowed</t>
  </si>
  <si>
    <t>Injury to TC unable to escape from an errant vehicle</t>
  </si>
  <si>
    <t>Road users not complying with TC instructions</t>
  </si>
  <si>
    <t>Radio communiations</t>
  </si>
  <si>
    <t>TTM workers required to operate close to worksite vehicles and plant</t>
  </si>
  <si>
    <t>PTCD</t>
  </si>
  <si>
    <t>Failure of PTCD leads to driver confusion and vehicle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</si>
</sst>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1" fillId="0" borderId="0" xfId="0" applyFont="1"/>
    <xf numFmtId="0" fontId="1" fillId="0" borderId="1" xfId="0" applyFont="1"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xf numFmtId="0" fontId="1" fillId="0" borderId="1" xfId="0" applyFont="1" applyBorder="1" applyAlignment="1">
      <alignment horizontal="center"/>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center"/>
    </xf>
    <xf numFmtId="0" fontId="0" fillId="0" borderId="6" xfId="0" applyBorder="1" applyAlignment="1">
      <alignment horizontal="center" vertical="top"/>
    </xf>
    <xf numFmtId="0" fontId="0" fillId="0" borderId="5" xfId="0" applyBorder="1" applyAlignment="1">
      <alignment vertical="top"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0" fontId="0" fillId="0" borderId="6" xfId="0" applyBorder="1" applyAlignment="1">
      <alignment horizontal="left" vertical="top" wrapText="1"/>
    </xf>
    <xf numFmtId="0" fontId="0" fillId="0" borderId="4" xfId="0" applyBorder="1" applyAlignment="1">
      <alignment vertical="top" wrapText="1"/>
    </xf>
    <xf numFmtId="0" fontId="0" fillId="0" borderId="6" xfId="0"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vertical="top" wrapText="1"/>
    </xf>
    <xf numFmtId="0" fontId="0" fillId="0" borderId="0" xfId="0" applyAlignment="1">
      <alignment horizontal="left" vertical="top" wrapText="1"/>
    </xf>
    <xf numFmtId="0" fontId="0" fillId="0" borderId="0" xfId="0"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0" fillId="2" borderId="2" xfId="0" applyFill="1" applyBorder="1" applyAlignment="1">
      <alignment horizontal="left" vertical="top"/>
    </xf>
    <xf numFmtId="0" fontId="0" fillId="2" borderId="7" xfId="0" applyFill="1" applyBorder="1" applyAlignment="1">
      <alignment horizontal="left" vertical="top"/>
    </xf>
    <xf numFmtId="0" fontId="0" fillId="2" borderId="3" xfId="0" applyFill="1" applyBorder="1" applyAlignment="1">
      <alignment horizontal="left" vertical="top"/>
    </xf>
    <xf numFmtId="0" fontId="0" fillId="2" borderId="7" xfId="0" applyFill="1" applyBorder="1" applyAlignment="1">
      <alignment horizontal="left" vertical="top" wrapText="1"/>
    </xf>
    <xf numFmtId="0" fontId="1" fillId="0" borderId="1" xfId="0" applyFont="1" applyBorder="1" applyAlignment="1">
      <alignment horizontal="center"/>
    </xf>
    <xf numFmtId="0" fontId="1" fillId="0" borderId="4" xfId="0" applyFont="1" applyBorder="1" applyAlignment="1">
      <alignment horizontal="center" vertical="top"/>
    </xf>
    <xf numFmtId="0" fontId="1" fillId="0" borderId="6" xfId="0" applyFont="1" applyBorder="1" applyAlignment="1">
      <alignment horizontal="center" vertical="top"/>
    </xf>
    <xf numFmtId="0" fontId="1" fillId="0" borderId="2" xfId="0" applyFont="1" applyBorder="1" applyAlignment="1">
      <alignment horizontal="left"/>
    </xf>
    <xf numFmtId="0" fontId="1" fillId="0" borderId="3" xfId="0" applyFont="1" applyBorder="1" applyAlignment="1">
      <alignment horizontal="left"/>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3" borderId="2" xfId="0" applyFill="1" applyBorder="1" applyAlignment="1">
      <alignment horizontal="left" vertical="top"/>
    </xf>
    <xf numFmtId="0" fontId="0" fillId="3" borderId="7" xfId="0" applyFill="1" applyBorder="1" applyAlignment="1">
      <alignment horizontal="left" vertical="top"/>
    </xf>
    <xf numFmtId="0" fontId="0" fillId="3" borderId="3" xfId="0" applyFill="1" applyBorder="1" applyAlignment="1">
      <alignment horizontal="left" vertical="top"/>
    </xf>
  </cellXfs>
  <cellStyles count="1">
    <cellStyle name="Normal" xfId="0" builtinId="0"/>
  </cellStyles>
  <dxfs count="276">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rgb="FFFF0000"/>
        </patternFill>
      </fill>
    </dxf>
    <dxf>
      <font>
        <color theme="0"/>
      </font>
      <fill>
        <patternFill>
          <bgColor theme="1"/>
        </patternFill>
      </fill>
    </dxf>
    <dxf>
      <font>
        <color rgb="FF9C0006"/>
      </font>
    </dxf>
    <dxf>
      <font>
        <color theme="0"/>
      </font>
      <fill>
        <patternFill>
          <bgColor theme="5"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1"/>
      </font>
      <fill>
        <patternFill>
          <bgColor theme="0" tint="-0.14996795556505021"/>
        </patternFill>
      </fill>
    </dxf>
    <dxf>
      <font>
        <color theme="0"/>
      </font>
      <fill>
        <patternFill>
          <bgColor theme="5" tint="-0.24994659260841701"/>
        </patternFill>
      </fill>
    </dxf>
    <dxf>
      <font>
        <color theme="0"/>
      </font>
      <fill>
        <patternFill>
          <bgColor rgb="FFFF0000"/>
        </patternFill>
      </fill>
    </dxf>
    <dxf>
      <font>
        <color rgb="FF9C0006"/>
      </font>
    </dxf>
    <dxf>
      <font>
        <color theme="0"/>
      </font>
      <fill>
        <patternFill>
          <bgColor theme="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9"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1"/>
        </patternFill>
      </fill>
    </dxf>
    <dxf>
      <font>
        <color rgb="FF9C0006"/>
      </font>
    </dxf>
    <dxf>
      <font>
        <color theme="0"/>
      </font>
      <fill>
        <patternFill>
          <bgColor rgb="FFFF0000"/>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0"/>
      </font>
      <fill>
        <patternFill>
          <bgColor rgb="FFFF0000"/>
        </patternFill>
      </fill>
    </dxf>
    <dxf>
      <font>
        <color theme="0"/>
      </font>
      <fill>
        <patternFill>
          <bgColor theme="5" tint="-0.24994659260841701"/>
        </patternFill>
      </fill>
    </dxf>
    <dxf>
      <font>
        <color theme="1"/>
      </font>
      <fill>
        <patternFill>
          <bgColor theme="0" tint="-0.14996795556505021"/>
        </patternFill>
      </fill>
    </dxf>
    <dxf>
      <font>
        <color rgb="FF9C0006"/>
      </font>
    </dxf>
    <dxf>
      <font>
        <color theme="0"/>
      </font>
      <fill>
        <patternFill>
          <bgColor theme="9" tint="-0.24994659260841701"/>
        </patternFill>
      </fill>
    </dxf>
    <dxf>
      <font>
        <color theme="0"/>
      </font>
      <fill>
        <patternFill>
          <bgColor theme="1"/>
        </patternFill>
      </fill>
    </dxf>
    <dxf>
      <font>
        <color theme="1"/>
      </font>
      <fill>
        <patternFill>
          <bgColor theme="0" tint="-0.1499679555650502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0"/>
      </font>
      <fill>
        <patternFill>
          <bgColor theme="9"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rgb="FF9C0006"/>
      </font>
    </dxf>
    <dxf>
      <font>
        <color theme="0"/>
      </font>
      <fill>
        <patternFill>
          <bgColor theme="5" tint="-0.24994659260841701"/>
        </patternFill>
      </fill>
    </dxf>
    <dxf>
      <font>
        <color theme="0"/>
      </font>
      <fill>
        <patternFill>
          <bgColor rgb="FFFF0000"/>
        </patternFill>
      </fill>
    </dxf>
    <dxf>
      <font>
        <color theme="0"/>
      </font>
      <fill>
        <patternFill>
          <bgColor theme="9" tint="-0.24994659260841701"/>
        </patternFill>
      </fill>
    </dxf>
    <dxf>
      <font>
        <color theme="0"/>
      </font>
      <fill>
        <patternFill>
          <bgColor theme="1"/>
        </patternFill>
      </fill>
    </dxf>
    <dxf>
      <font>
        <color rgb="FF9C0006"/>
      </font>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5" tint="-0.24994659260841701"/>
        </patternFill>
      </fill>
    </dxf>
    <dxf>
      <font>
        <color theme="1"/>
      </font>
      <fill>
        <patternFill>
          <bgColor theme="0" tint="-0.14996795556505021"/>
        </patternFill>
      </fill>
    </dxf>
    <dxf>
      <font>
        <color theme="0"/>
      </font>
      <fill>
        <patternFill>
          <bgColor theme="9"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1"/>
      </font>
      <fill>
        <patternFill>
          <bgColor theme="0" tint="-0.14996795556505021"/>
        </patternFill>
      </fill>
    </dxf>
    <dxf>
      <font>
        <color theme="0"/>
      </font>
      <fill>
        <patternFill>
          <bgColor theme="9" tint="-0.24994659260841701"/>
        </patternFill>
      </fill>
    </dxf>
    <dxf>
      <font>
        <color rgb="FF9C0006"/>
      </font>
    </dxf>
    <dxf>
      <font>
        <color theme="0"/>
      </font>
      <fill>
        <patternFill>
          <bgColor theme="1"/>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1"/>
        </patternFill>
      </fill>
    </dxf>
    <dxf>
      <font>
        <color rgb="FF9C0006"/>
      </font>
    </dxf>
    <dxf>
      <font>
        <color theme="0"/>
      </font>
      <fill>
        <patternFill>
          <bgColor rgb="FFFF0000"/>
        </patternFill>
      </fill>
    </dxf>
    <dxf>
      <font>
        <color theme="1"/>
      </font>
      <fill>
        <patternFill>
          <bgColor theme="0" tint="-0.14996795556505021"/>
        </patternFill>
      </fill>
    </dxf>
    <dxf>
      <font>
        <color theme="0"/>
      </font>
      <fill>
        <patternFill>
          <bgColor theme="9"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rgb="FF9C0006"/>
      </font>
    </dxf>
    <dxf>
      <font>
        <color theme="0"/>
      </font>
      <fill>
        <patternFill>
          <bgColor theme="1"/>
        </patternFill>
      </fill>
    </dxf>
    <dxf>
      <font>
        <color theme="0"/>
      </font>
      <fill>
        <patternFill>
          <bgColor rgb="FFFF0000"/>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rgb="FFFF0000"/>
        </patternFill>
      </fill>
    </dxf>
    <dxf>
      <font>
        <color theme="0"/>
      </font>
      <fill>
        <patternFill>
          <bgColor theme="1"/>
        </patternFill>
      </fill>
    </dxf>
    <dxf>
      <font>
        <color rgb="FF9C0006"/>
      </font>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1"/>
        </patternFill>
      </fill>
    </dxf>
    <dxf>
      <font>
        <color rgb="FF9C0006"/>
      </font>
    </dxf>
    <dxf>
      <font>
        <color theme="0"/>
      </font>
      <fill>
        <patternFill>
          <bgColor rgb="FFFF0000"/>
        </patternFill>
      </fill>
    </dxf>
    <dxf>
      <font>
        <color theme="0"/>
      </font>
      <fill>
        <patternFill>
          <bgColor theme="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rgb="FF9C0006"/>
      </font>
    </dxf>
    <dxf>
      <font>
        <color theme="0"/>
      </font>
      <fill>
        <patternFill>
          <bgColor theme="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rgb="FF9C0006"/>
      </font>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5"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9" tint="-0.24994659260841701"/>
        </patternFill>
      </fill>
    </dxf>
    <dxf>
      <font>
        <color rgb="FF9C0006"/>
      </font>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1"/>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1"/>
        </patternFill>
      </fill>
    </dxf>
    <dxf>
      <font>
        <color rgb="FF9C0006"/>
      </font>
    </dxf>
    <dxf>
      <font>
        <color theme="1"/>
      </font>
      <fill>
        <patternFill>
          <bgColor theme="0" tint="-0.14996795556505021"/>
        </patternFill>
      </fill>
    </dxf>
    <dxf>
      <font>
        <color theme="0"/>
      </font>
      <fill>
        <patternFill>
          <bgColor rgb="FFFF0000"/>
        </patternFill>
      </fill>
    </dxf>
    <dxf>
      <font>
        <color theme="0"/>
      </font>
      <fill>
        <patternFill>
          <bgColor rgb="FFFF0000"/>
        </patternFill>
      </fill>
    </dxf>
    <dxf>
      <font>
        <color theme="0"/>
      </font>
      <fill>
        <patternFill>
          <bgColor theme="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1"/>
        </patternFill>
      </fill>
    </dxf>
    <dxf>
      <font>
        <color rgb="FF9C0006"/>
      </font>
    </dxf>
    <dxf>
      <font>
        <color theme="0"/>
      </font>
      <fill>
        <patternFill>
          <bgColor rgb="FFFF0000"/>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rgb="FF9C0006"/>
      </font>
    </dxf>
    <dxf>
      <font>
        <color theme="0"/>
      </font>
      <fill>
        <patternFill>
          <bgColor rgb="FFFF0000"/>
        </patternFill>
      </fill>
    </dxf>
    <dxf>
      <font>
        <color theme="1"/>
      </font>
      <fill>
        <patternFill>
          <bgColor theme="0" tint="-0.1499679555650502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
      <font>
        <color theme="1"/>
      </font>
      <fill>
        <patternFill>
          <bgColor theme="0" tint="-0.14996795556505021"/>
        </patternFill>
      </fill>
    </dxf>
    <dxf>
      <font>
        <color theme="0"/>
      </font>
      <fill>
        <patternFill>
          <bgColor theme="5" tint="-0.24994659260841701"/>
        </patternFill>
      </fill>
    </dxf>
    <dxf>
      <font>
        <color theme="0"/>
      </font>
      <fill>
        <patternFill>
          <bgColor rgb="FFFF0000"/>
        </patternFill>
      </fill>
    </dxf>
    <dxf>
      <font>
        <color theme="0"/>
      </font>
      <fill>
        <patternFill>
          <bgColor theme="1"/>
        </patternFill>
      </fill>
    </dxf>
    <dxf>
      <font>
        <color rgb="FF9C0006"/>
      </font>
    </dxf>
    <dxf>
      <font>
        <color theme="0"/>
      </font>
      <fill>
        <patternFill>
          <bgColor theme="9" tint="-0.24994659260841701"/>
        </patternFill>
      </fill>
    </dxf>
    <dxf>
      <font>
        <color theme="1"/>
      </font>
      <fill>
        <patternFill>
          <bgColor theme="0" tint="-0.14996795556505021"/>
        </patternFill>
      </fill>
    </dxf>
    <dxf>
      <font>
        <color rgb="FF9C0006"/>
      </font>
    </dxf>
    <dxf>
      <font>
        <color theme="0"/>
      </font>
      <fill>
        <patternFill>
          <bgColor theme="1"/>
        </patternFill>
      </fill>
    </dxf>
    <dxf>
      <font>
        <color theme="0"/>
      </font>
      <fill>
        <patternFill>
          <bgColor rgb="FFFF0000"/>
        </patternFill>
      </fill>
    </dxf>
    <dxf>
      <font>
        <color theme="0"/>
      </font>
      <fill>
        <patternFill>
          <bgColor theme="5" tint="-0.24994659260841701"/>
        </patternFill>
      </fill>
    </dxf>
    <dxf>
      <font>
        <color theme="0"/>
      </font>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Risk Level'!A1"/><Relationship Id="rId2" Type="http://schemas.openxmlformats.org/officeDocument/2006/relationships/hyperlink" Target="#Consequence!A1"/><Relationship Id="rId1" Type="http://schemas.openxmlformats.org/officeDocument/2006/relationships/hyperlink" Target="#Likelihood!A1"/></Relationships>
</file>

<file path=xl/drawings/_rels/drawing2.xml.rels><?xml version="1.0" encoding="UTF-8" standalone="yes"?>
<Relationships xmlns="http://schemas.openxmlformats.org/package/2006/relationships"><Relationship Id="rId3" Type="http://schemas.openxmlformats.org/officeDocument/2006/relationships/hyperlink" Target="#'Risk Level'!A1"/><Relationship Id="rId2" Type="http://schemas.openxmlformats.org/officeDocument/2006/relationships/hyperlink" Target="#Consequence!A1"/><Relationship Id="rId1" Type="http://schemas.openxmlformats.org/officeDocument/2006/relationships/hyperlink" Target="#Likelihood!A1"/></Relationships>
</file>

<file path=xl/drawings/_rels/drawing3.xml.rels><?xml version="1.0" encoding="UTF-8" standalone="yes"?>
<Relationships xmlns="http://schemas.openxmlformats.org/package/2006/relationships"><Relationship Id="rId3" Type="http://schemas.openxmlformats.org/officeDocument/2006/relationships/hyperlink" Target="#'Risk Level'!A1"/><Relationship Id="rId2" Type="http://schemas.openxmlformats.org/officeDocument/2006/relationships/hyperlink" Target="#Consequence!A1"/><Relationship Id="rId1" Type="http://schemas.openxmlformats.org/officeDocument/2006/relationships/hyperlink" Target="#Likelihood!A1"/></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9717</xdr:colOff>
      <xdr:row>2</xdr:row>
      <xdr:rowOff>38869</xdr:rowOff>
    </xdr:from>
    <xdr:to>
      <xdr:col>3</xdr:col>
      <xdr:colOff>810779</xdr:colOff>
      <xdr:row>5</xdr:row>
      <xdr:rowOff>87648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FAAFE41-7AF7-4C7F-A5B0-29D4FE1ADC0D}"/>
            </a:ext>
          </a:extLst>
        </xdr:cNvPr>
        <xdr:cNvSpPr/>
      </xdr:nvSpPr>
      <xdr:spPr>
        <a:xfrm>
          <a:off x="5594831" y="402551"/>
          <a:ext cx="801062" cy="5943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Like - lihood</a:t>
          </a:r>
        </a:p>
      </xdr:txBody>
    </xdr:sp>
    <xdr:clientData/>
  </xdr:twoCellAnchor>
  <xdr:twoCellAnchor>
    <xdr:from>
      <xdr:col>4</xdr:col>
      <xdr:colOff>39063</xdr:colOff>
      <xdr:row>2</xdr:row>
      <xdr:rowOff>38869</xdr:rowOff>
    </xdr:from>
    <xdr:to>
      <xdr:col>4</xdr:col>
      <xdr:colOff>840125</xdr:colOff>
      <xdr:row>5</xdr:row>
      <xdr:rowOff>85531</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EF5325E1-D2E2-414A-8A95-685745CCCAB6}"/>
            </a:ext>
          </a:extLst>
        </xdr:cNvPr>
        <xdr:cNvSpPr/>
      </xdr:nvSpPr>
      <xdr:spPr>
        <a:xfrm>
          <a:off x="6472768" y="402551"/>
          <a:ext cx="801062" cy="59218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Conse - quence</a:t>
          </a:r>
        </a:p>
      </xdr:txBody>
    </xdr:sp>
    <xdr:clientData/>
  </xdr:twoCellAnchor>
  <xdr:twoCellAnchor>
    <xdr:from>
      <xdr:col>5</xdr:col>
      <xdr:colOff>49645</xdr:colOff>
      <xdr:row>2</xdr:row>
      <xdr:rowOff>39062</xdr:rowOff>
    </xdr:from>
    <xdr:to>
      <xdr:col>5</xdr:col>
      <xdr:colOff>846474</xdr:colOff>
      <xdr:row>5</xdr:row>
      <xdr:rowOff>84665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D755E7F6-E3A0-48A6-BB2A-D6A2D09B87B3}"/>
            </a:ext>
          </a:extLst>
        </xdr:cNvPr>
        <xdr:cNvSpPr/>
      </xdr:nvSpPr>
      <xdr:spPr>
        <a:xfrm>
          <a:off x="7502958" y="404187"/>
          <a:ext cx="796829" cy="5932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Rating</a:t>
          </a:r>
        </a:p>
      </xdr:txBody>
    </xdr:sp>
    <xdr:clientData/>
  </xdr:twoCellAnchor>
  <xdr:twoCellAnchor>
    <xdr:from>
      <xdr:col>6</xdr:col>
      <xdr:colOff>124882</xdr:colOff>
      <xdr:row>2</xdr:row>
      <xdr:rowOff>47528</xdr:rowOff>
    </xdr:from>
    <xdr:to>
      <xdr:col>7</xdr:col>
      <xdr:colOff>1992312</xdr:colOff>
      <xdr:row>5</xdr:row>
      <xdr:rowOff>85723</xdr:rowOff>
    </xdr:to>
    <xdr:sp macro="" textlink="">
      <xdr:nvSpPr>
        <xdr:cNvPr id="5" name="Rectangle: Rounded Corners 4">
          <a:extLst>
            <a:ext uri="{FF2B5EF4-FFF2-40B4-BE49-F238E27FC236}">
              <a16:creationId xmlns:a16="http://schemas.microsoft.com/office/drawing/2014/main" id="{CE5FF232-DCFD-48AB-9D78-B0CC219262AF}"/>
            </a:ext>
          </a:extLst>
        </xdr:cNvPr>
        <xdr:cNvSpPr/>
      </xdr:nvSpPr>
      <xdr:spPr>
        <a:xfrm>
          <a:off x="8427507" y="412653"/>
          <a:ext cx="4740805" cy="5858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solidFill>
                <a:sysClr val="windowText" lastClr="000000"/>
              </a:solidFill>
            </a:rPr>
            <a:t>Measures selected will</a:t>
          </a:r>
          <a:r>
            <a:rPr lang="en-AU" sz="1100" baseline="0">
              <a:solidFill>
                <a:sysClr val="windowText" lastClr="000000"/>
              </a:solidFill>
            </a:rPr>
            <a:t> generally only reduce the likelihood or consequence of an event, usually not both.  Ensure adequate justification is documented here or elsewhere to support the proposed revised ratings.  </a:t>
          </a:r>
          <a:endParaRPr lang="en-AU"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9717</xdr:colOff>
      <xdr:row>2</xdr:row>
      <xdr:rowOff>38869</xdr:rowOff>
    </xdr:from>
    <xdr:to>
      <xdr:col>3</xdr:col>
      <xdr:colOff>810779</xdr:colOff>
      <xdr:row>5</xdr:row>
      <xdr:rowOff>87648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93C5B7-6835-4882-8A17-2F5CBE86D7B7}"/>
            </a:ext>
          </a:extLst>
        </xdr:cNvPr>
        <xdr:cNvSpPr/>
      </xdr:nvSpPr>
      <xdr:spPr>
        <a:xfrm>
          <a:off x="5763875" y="400819"/>
          <a:ext cx="796829" cy="5885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Like - lihood</a:t>
          </a:r>
        </a:p>
      </xdr:txBody>
    </xdr:sp>
    <xdr:clientData/>
  </xdr:twoCellAnchor>
  <xdr:twoCellAnchor>
    <xdr:from>
      <xdr:col>4</xdr:col>
      <xdr:colOff>39063</xdr:colOff>
      <xdr:row>2</xdr:row>
      <xdr:rowOff>38869</xdr:rowOff>
    </xdr:from>
    <xdr:to>
      <xdr:col>4</xdr:col>
      <xdr:colOff>840125</xdr:colOff>
      <xdr:row>5</xdr:row>
      <xdr:rowOff>85531</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0B7779B-E890-4B06-A681-5F404289BFAF}"/>
            </a:ext>
          </a:extLst>
        </xdr:cNvPr>
        <xdr:cNvSpPr/>
      </xdr:nvSpPr>
      <xdr:spPr>
        <a:xfrm>
          <a:off x="6639888" y="400819"/>
          <a:ext cx="801062" cy="5906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Conse - quence</a:t>
          </a:r>
        </a:p>
      </xdr:txBody>
    </xdr:sp>
    <xdr:clientData/>
  </xdr:twoCellAnchor>
  <xdr:twoCellAnchor>
    <xdr:from>
      <xdr:col>5</xdr:col>
      <xdr:colOff>49645</xdr:colOff>
      <xdr:row>2</xdr:row>
      <xdr:rowOff>39062</xdr:rowOff>
    </xdr:from>
    <xdr:to>
      <xdr:col>5</xdr:col>
      <xdr:colOff>846474</xdr:colOff>
      <xdr:row>5</xdr:row>
      <xdr:rowOff>84665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2D0F2D8-21BB-41AE-9AAF-3B005E3A0F67}"/>
            </a:ext>
          </a:extLst>
        </xdr:cNvPr>
        <xdr:cNvSpPr/>
      </xdr:nvSpPr>
      <xdr:spPr>
        <a:xfrm>
          <a:off x="7502958" y="404187"/>
          <a:ext cx="796829" cy="5932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Rating</a:t>
          </a:r>
        </a:p>
      </xdr:txBody>
    </xdr:sp>
    <xdr:clientData/>
  </xdr:twoCellAnchor>
  <xdr:twoCellAnchor>
    <xdr:from>
      <xdr:col>6</xdr:col>
      <xdr:colOff>93138</xdr:colOff>
      <xdr:row>2</xdr:row>
      <xdr:rowOff>55466</xdr:rowOff>
    </xdr:from>
    <xdr:to>
      <xdr:col>7</xdr:col>
      <xdr:colOff>1961627</xdr:colOff>
      <xdr:row>5</xdr:row>
      <xdr:rowOff>86779</xdr:rowOff>
    </xdr:to>
    <xdr:sp macro="" textlink="">
      <xdr:nvSpPr>
        <xdr:cNvPr id="5" name="Rectangle: Rounded Corners 4">
          <a:extLst>
            <a:ext uri="{FF2B5EF4-FFF2-40B4-BE49-F238E27FC236}">
              <a16:creationId xmlns:a16="http://schemas.microsoft.com/office/drawing/2014/main" id="{80C4F542-C10B-4E95-B5DF-B75248EBF71A}"/>
            </a:ext>
          </a:extLst>
        </xdr:cNvPr>
        <xdr:cNvSpPr/>
      </xdr:nvSpPr>
      <xdr:spPr>
        <a:xfrm>
          <a:off x="8395763" y="420591"/>
          <a:ext cx="4741864" cy="57900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solidFill>
                <a:sysClr val="windowText" lastClr="000000"/>
              </a:solidFill>
            </a:rPr>
            <a:t>Measures selected will</a:t>
          </a:r>
          <a:r>
            <a:rPr lang="en-AU" sz="1100" baseline="0">
              <a:solidFill>
                <a:sysClr val="windowText" lastClr="000000"/>
              </a:solidFill>
            </a:rPr>
            <a:t> generally only reduce the likelihood or consequence of an event, usually not both.  Ensure adequate justification is documented here or elsewhere to support the proposed revised ratings.  </a:t>
          </a:r>
          <a:endParaRPr lang="en-AU"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9717</xdr:colOff>
      <xdr:row>2</xdr:row>
      <xdr:rowOff>38869</xdr:rowOff>
    </xdr:from>
    <xdr:to>
      <xdr:col>3</xdr:col>
      <xdr:colOff>810779</xdr:colOff>
      <xdr:row>5</xdr:row>
      <xdr:rowOff>87648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73A94EB-7419-449B-8F6C-1B3B5BAB23BA}"/>
            </a:ext>
          </a:extLst>
        </xdr:cNvPr>
        <xdr:cNvSpPr/>
      </xdr:nvSpPr>
      <xdr:spPr>
        <a:xfrm>
          <a:off x="5763875" y="400819"/>
          <a:ext cx="796829" cy="5885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Like - lihood</a:t>
          </a:r>
        </a:p>
      </xdr:txBody>
    </xdr:sp>
    <xdr:clientData/>
  </xdr:twoCellAnchor>
  <xdr:twoCellAnchor>
    <xdr:from>
      <xdr:col>4</xdr:col>
      <xdr:colOff>39063</xdr:colOff>
      <xdr:row>2</xdr:row>
      <xdr:rowOff>38869</xdr:rowOff>
    </xdr:from>
    <xdr:to>
      <xdr:col>4</xdr:col>
      <xdr:colOff>840125</xdr:colOff>
      <xdr:row>5</xdr:row>
      <xdr:rowOff>85531</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81947B46-8ACA-463F-9A8C-A7D061ACF44A}"/>
            </a:ext>
          </a:extLst>
        </xdr:cNvPr>
        <xdr:cNvSpPr/>
      </xdr:nvSpPr>
      <xdr:spPr>
        <a:xfrm>
          <a:off x="6639888" y="400819"/>
          <a:ext cx="801062" cy="5906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Conse - quence</a:t>
          </a:r>
        </a:p>
      </xdr:txBody>
    </xdr:sp>
    <xdr:clientData/>
  </xdr:twoCellAnchor>
  <xdr:twoCellAnchor>
    <xdr:from>
      <xdr:col>5</xdr:col>
      <xdr:colOff>49645</xdr:colOff>
      <xdr:row>2</xdr:row>
      <xdr:rowOff>39062</xdr:rowOff>
    </xdr:from>
    <xdr:to>
      <xdr:col>5</xdr:col>
      <xdr:colOff>846474</xdr:colOff>
      <xdr:row>5</xdr:row>
      <xdr:rowOff>84665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2CB7F331-B561-4548-82EB-4DE7528AF31D}"/>
            </a:ext>
          </a:extLst>
        </xdr:cNvPr>
        <xdr:cNvSpPr/>
      </xdr:nvSpPr>
      <xdr:spPr>
        <a:xfrm>
          <a:off x="7495020" y="401012"/>
          <a:ext cx="801062" cy="5895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t>Rating</a:t>
          </a:r>
        </a:p>
      </xdr:txBody>
    </xdr:sp>
    <xdr:clientData/>
  </xdr:twoCellAnchor>
  <xdr:twoCellAnchor>
    <xdr:from>
      <xdr:col>6</xdr:col>
      <xdr:colOff>93138</xdr:colOff>
      <xdr:row>2</xdr:row>
      <xdr:rowOff>55466</xdr:rowOff>
    </xdr:from>
    <xdr:to>
      <xdr:col>7</xdr:col>
      <xdr:colOff>1961627</xdr:colOff>
      <xdr:row>5</xdr:row>
      <xdr:rowOff>86779</xdr:rowOff>
    </xdr:to>
    <xdr:sp macro="" textlink="">
      <xdr:nvSpPr>
        <xdr:cNvPr id="5" name="Rectangle: Rounded Corners 4">
          <a:extLst>
            <a:ext uri="{FF2B5EF4-FFF2-40B4-BE49-F238E27FC236}">
              <a16:creationId xmlns:a16="http://schemas.microsoft.com/office/drawing/2014/main" id="{918C922B-E516-43ED-8532-8ABE8539E8F0}"/>
            </a:ext>
          </a:extLst>
        </xdr:cNvPr>
        <xdr:cNvSpPr/>
      </xdr:nvSpPr>
      <xdr:spPr>
        <a:xfrm>
          <a:off x="8391530" y="419533"/>
          <a:ext cx="4745039" cy="57317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100">
              <a:solidFill>
                <a:sysClr val="windowText" lastClr="000000"/>
              </a:solidFill>
            </a:rPr>
            <a:t>Measures selected will</a:t>
          </a:r>
          <a:r>
            <a:rPr lang="en-AU" sz="1100" baseline="0">
              <a:solidFill>
                <a:sysClr val="windowText" lastClr="000000"/>
              </a:solidFill>
            </a:rPr>
            <a:t> generally only reduce the likelihood or consequence of an event, usually not both.  Ensure adequate justification is documented here or elsewhere to support the proposed revised ratings.  </a:t>
          </a:r>
          <a:endParaRPr lang="en-AU"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620115</xdr:colOff>
      <xdr:row>34</xdr:row>
      <xdr:rowOff>10360</xdr:rowOff>
    </xdr:to>
    <xdr:pic>
      <xdr:nvPicPr>
        <xdr:cNvPr id="3" name="Picture 2">
          <a:extLst>
            <a:ext uri="{FF2B5EF4-FFF2-40B4-BE49-F238E27FC236}">
              <a16:creationId xmlns:a16="http://schemas.microsoft.com/office/drawing/2014/main" id="{A0F0611A-BE25-4898-A1AD-810815AD0080}"/>
            </a:ext>
          </a:extLst>
        </xdr:cNvPr>
        <xdr:cNvPicPr>
          <a:picLocks noChangeAspect="1"/>
        </xdr:cNvPicPr>
      </xdr:nvPicPr>
      <xdr:blipFill>
        <a:blip xmlns:r="http://schemas.openxmlformats.org/officeDocument/2006/relationships" r:embed="rId1"/>
        <a:stretch>
          <a:fillRect/>
        </a:stretch>
      </xdr:blipFill>
      <xdr:spPr>
        <a:xfrm>
          <a:off x="647700" y="180975"/>
          <a:ext cx="7097115" cy="59825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67679</xdr:colOff>
      <xdr:row>43</xdr:row>
      <xdr:rowOff>86798</xdr:rowOff>
    </xdr:to>
    <xdr:pic>
      <xdr:nvPicPr>
        <xdr:cNvPr id="2" name="Picture 1">
          <a:extLst>
            <a:ext uri="{FF2B5EF4-FFF2-40B4-BE49-F238E27FC236}">
              <a16:creationId xmlns:a16="http://schemas.microsoft.com/office/drawing/2014/main" id="{2AA48B1F-BEB1-4240-9692-D94838FC6E8F}"/>
            </a:ext>
          </a:extLst>
        </xdr:cNvPr>
        <xdr:cNvPicPr>
          <a:picLocks noChangeAspect="1"/>
        </xdr:cNvPicPr>
      </xdr:nvPicPr>
      <xdr:blipFill>
        <a:blip xmlns:r="http://schemas.openxmlformats.org/officeDocument/2006/relationships" r:embed="rId1"/>
        <a:stretch>
          <a:fillRect/>
        </a:stretch>
      </xdr:blipFill>
      <xdr:spPr>
        <a:xfrm>
          <a:off x="647700" y="180975"/>
          <a:ext cx="7192379" cy="76877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401010</xdr:colOff>
      <xdr:row>18</xdr:row>
      <xdr:rowOff>171903</xdr:rowOff>
    </xdr:to>
    <xdr:pic>
      <xdr:nvPicPr>
        <xdr:cNvPr id="2" name="Picture 1">
          <a:extLst>
            <a:ext uri="{FF2B5EF4-FFF2-40B4-BE49-F238E27FC236}">
              <a16:creationId xmlns:a16="http://schemas.microsoft.com/office/drawing/2014/main" id="{7DF8AA65-B01B-4C9F-95BC-D8095C6ECEE8}"/>
            </a:ext>
          </a:extLst>
        </xdr:cNvPr>
        <xdr:cNvPicPr>
          <a:picLocks noChangeAspect="1"/>
        </xdr:cNvPicPr>
      </xdr:nvPicPr>
      <xdr:blipFill>
        <a:blip xmlns:r="http://schemas.openxmlformats.org/officeDocument/2006/relationships" r:embed="rId1"/>
        <a:stretch>
          <a:fillRect/>
        </a:stretch>
      </xdr:blipFill>
      <xdr:spPr>
        <a:xfrm>
          <a:off x="647700" y="180975"/>
          <a:ext cx="6878010" cy="324847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451D8-A91A-436F-8B7C-3B452197CCC1}">
  <sheetPr>
    <pageSetUpPr fitToPage="1"/>
  </sheetPr>
  <dimension ref="B2:V75"/>
  <sheetViews>
    <sheetView showGridLines="0" zoomScale="90" zoomScaleNormal="90" workbookViewId="0">
      <selection activeCell="F10" sqref="F10"/>
    </sheetView>
  </sheetViews>
  <sheetFormatPr defaultRowHeight="14.5" x14ac:dyDescent="0.35"/>
  <cols>
    <col min="1" max="1" width="3.1796875" customWidth="1"/>
    <col min="2" max="2" width="22" style="9" bestFit="1" customWidth="1"/>
    <col min="3" max="3" width="54.7265625" style="9" bestFit="1" customWidth="1"/>
    <col min="4" max="6" width="11.81640625" customWidth="1"/>
    <col min="7" max="7" width="40" customWidth="1"/>
    <col min="8" max="8" width="28.1796875" customWidth="1"/>
    <col min="9" max="11" width="12.7265625" customWidth="1"/>
    <col min="14" max="14" width="33" customWidth="1"/>
    <col min="16" max="17" width="9" style="13" hidden="1" customWidth="1"/>
    <col min="18" max="20" width="9" hidden="1" customWidth="1"/>
    <col min="21" max="22" width="9" style="13" hidden="1" customWidth="1"/>
    <col min="23" max="23" width="0" hidden="1" customWidth="1"/>
  </cols>
  <sheetData>
    <row r="2" spans="2:22" x14ac:dyDescent="0.35">
      <c r="D2" s="26"/>
      <c r="E2" s="26"/>
      <c r="F2" s="26"/>
    </row>
    <row r="7" spans="2:22" s="1" customFormat="1" x14ac:dyDescent="0.35">
      <c r="B7" s="41" t="s">
        <v>6</v>
      </c>
      <c r="C7" s="42"/>
      <c r="D7" s="36" t="s">
        <v>5</v>
      </c>
      <c r="E7" s="36"/>
      <c r="F7" s="36"/>
      <c r="G7" s="24" t="s">
        <v>7</v>
      </c>
      <c r="H7" s="25"/>
      <c r="I7" s="36" t="s">
        <v>8</v>
      </c>
      <c r="J7" s="36"/>
      <c r="K7" s="36"/>
      <c r="L7" s="37" t="s">
        <v>11</v>
      </c>
      <c r="M7" s="39" t="s">
        <v>12</v>
      </c>
      <c r="N7" s="40"/>
      <c r="P7" s="15" t="s">
        <v>69</v>
      </c>
      <c r="Q7" s="14"/>
      <c r="U7" s="15" t="s">
        <v>69</v>
      </c>
      <c r="V7" s="14"/>
    </row>
    <row r="8" spans="2:22" s="1" customFormat="1" x14ac:dyDescent="0.35">
      <c r="B8" s="7" t="s">
        <v>0</v>
      </c>
      <c r="C8" s="7" t="s">
        <v>1</v>
      </c>
      <c r="D8" s="6" t="s">
        <v>100</v>
      </c>
      <c r="E8" s="6" t="s">
        <v>101</v>
      </c>
      <c r="F8" s="6" t="s">
        <v>4</v>
      </c>
      <c r="G8" s="2" t="s">
        <v>9</v>
      </c>
      <c r="H8" s="2" t="s">
        <v>10</v>
      </c>
      <c r="I8" s="6" t="s">
        <v>100</v>
      </c>
      <c r="J8" s="6" t="s">
        <v>101</v>
      </c>
      <c r="K8" s="6" t="s">
        <v>4</v>
      </c>
      <c r="L8" s="38"/>
      <c r="M8" s="6" t="s">
        <v>13</v>
      </c>
      <c r="N8" s="6" t="s">
        <v>14</v>
      </c>
      <c r="P8" s="14" t="s">
        <v>2</v>
      </c>
      <c r="Q8" s="14" t="s">
        <v>3</v>
      </c>
      <c r="U8" s="14" t="s">
        <v>2</v>
      </c>
      <c r="V8" s="14" t="s">
        <v>3</v>
      </c>
    </row>
    <row r="9" spans="2:22" x14ac:dyDescent="0.35">
      <c r="B9" s="32" t="s">
        <v>42</v>
      </c>
      <c r="C9" s="33"/>
      <c r="D9" s="33"/>
      <c r="E9" s="33"/>
      <c r="F9" s="33"/>
      <c r="G9" s="33"/>
      <c r="H9" s="33"/>
      <c r="I9" s="33"/>
      <c r="J9" s="33"/>
      <c r="K9" s="33"/>
      <c r="L9" s="33"/>
      <c r="M9" s="33"/>
      <c r="N9" s="34"/>
      <c r="S9" t="s">
        <v>64</v>
      </c>
    </row>
    <row r="10" spans="2:22" x14ac:dyDescent="0.35">
      <c r="B10" s="29" t="s">
        <v>102</v>
      </c>
      <c r="C10" s="8" t="s">
        <v>43</v>
      </c>
      <c r="D10" s="4"/>
      <c r="E10" s="4"/>
      <c r="F10" s="4" t="str">
        <f>IF(P10*Q10=0,$S$14,VLOOKUP(Q10,Lookups!$D$4:$J$8,'Planning Phase'!P10+2))</f>
        <v>Select L  &amp; C</v>
      </c>
      <c r="G10" s="5"/>
      <c r="H10" s="5"/>
      <c r="I10" s="4"/>
      <c r="J10" s="4"/>
      <c r="K10" s="4" t="str">
        <f>IF(U10*V10=0,$S$14,VLOOKUP(V10,Lookups!$D$4:$J$8,'Planning Phase'!U10+2))</f>
        <v>Select L  &amp; C</v>
      </c>
      <c r="L10" s="11"/>
      <c r="M10" s="10"/>
      <c r="N10" s="10"/>
      <c r="P10" s="13">
        <f>IF(D10=Lookups!$B$4,1,IF(D10=Lookups!$B$5,2,IF(D10=Lookups!$B$6,3,IF(D10=Lookups!$B$7,4,IF(D10=Lookups!$B$8,5,0)))))</f>
        <v>0</v>
      </c>
      <c r="Q10" s="13">
        <f>IF(E10=Lookups!$C$4,1,IF(E10=Lookups!$C$5,2,IF(E10=Lookups!$C$6,3,IF(E10=Lookups!$C$7,4,IF(E10=Lookups!$C$8,5,0)))))</f>
        <v>0</v>
      </c>
      <c r="S10" t="s">
        <v>65</v>
      </c>
      <c r="U10" s="13">
        <f>IF(I10=Lookups!$B$4,1,IF(I10=Lookups!$B$5,2,IF(I10=Lookups!$B$6,3,IF(I10=Lookups!$B$7,4,IF(I10=Lookups!$B$8,5,0)))))</f>
        <v>0</v>
      </c>
      <c r="V10" s="13">
        <f>IF(J10=Lookups!$C$4,1,IF(J10=Lookups!$C$5,2,IF(J10=Lookups!$C$6,3,IF(J10=Lookups!$C$7,4,IF(J10=Lookups!$C$8,5,0)))))</f>
        <v>0</v>
      </c>
    </row>
    <row r="11" spans="2:22" ht="43.5" x14ac:dyDescent="0.35">
      <c r="B11" s="31"/>
      <c r="C11" s="8" t="s">
        <v>107</v>
      </c>
      <c r="D11" s="4"/>
      <c r="E11" s="4"/>
      <c r="F11" s="4" t="str">
        <f>IF(P11*Q11=0,$S$14,VLOOKUP(Q11,Lookups!$D$4:$J$8,'Planning Phase'!P11+2))</f>
        <v>Select L  &amp; C</v>
      </c>
      <c r="G11" s="5"/>
      <c r="H11" s="5"/>
      <c r="I11" s="4"/>
      <c r="J11" s="4"/>
      <c r="K11" s="4" t="str">
        <f>IF(U11*V11=0,$S$14,VLOOKUP(V11,Lookups!$D$4:$J$8,'Planning Phase'!U11+2))</f>
        <v>Select L  &amp; C</v>
      </c>
      <c r="L11" s="11"/>
      <c r="M11" s="10"/>
      <c r="N11" s="10"/>
      <c r="P11" s="13">
        <f>IF(D11=Lookups!$B$4,1,IF(D11=Lookups!$B$5,2,IF(D11=Lookups!$B$6,3,IF(D11=Lookups!$B$7,4,IF(D11=Lookups!$B$8,5,0)))))</f>
        <v>0</v>
      </c>
      <c r="Q11" s="13">
        <f>IF(E11=Lookups!$C$4,1,IF(E11=Lookups!$C$5,2,IF(E11=Lookups!$C$6,3,IF(E11=Lookups!$C$7,4,IF(E11=Lookups!$C$8,5,0)))))</f>
        <v>0</v>
      </c>
      <c r="S11" t="s">
        <v>66</v>
      </c>
      <c r="U11" s="13">
        <f>IF(I11=Lookups!$B$4,1,IF(I11=Lookups!$B$5,2,IF(I11=Lookups!$B$6,3,IF(I11=Lookups!$B$7,4,IF(I11=Lookups!$B$8,5,0)))))</f>
        <v>0</v>
      </c>
      <c r="V11" s="13">
        <f>IF(J11=Lookups!$C$4,1,IF(J11=Lookups!$C$5,2,IF(J11=Lookups!$C$6,3,IF(J11=Lookups!$C$7,4,IF(J11=Lookups!$C$8,5,0)))))</f>
        <v>0</v>
      </c>
    </row>
    <row r="12" spans="2:22" ht="29" x14ac:dyDescent="0.35">
      <c r="B12" s="31"/>
      <c r="C12" s="8" t="s">
        <v>44</v>
      </c>
      <c r="D12" s="4"/>
      <c r="E12" s="4"/>
      <c r="F12" s="4" t="str">
        <f>IF(P12*Q12=0,$S$14,VLOOKUP(Q12,Lookups!$D$4:$J$8,'Planning Phase'!P12+2))</f>
        <v>Select L  &amp; C</v>
      </c>
      <c r="G12" s="5"/>
      <c r="H12" s="5"/>
      <c r="I12" s="4"/>
      <c r="J12" s="4"/>
      <c r="K12" s="4" t="str">
        <f>IF(U12*V12=0,$S$14,VLOOKUP(V12,Lookups!$D$4:$J$8,'Planning Phase'!U12+2))</f>
        <v>Select L  &amp; C</v>
      </c>
      <c r="L12" s="11"/>
      <c r="M12" s="10"/>
      <c r="N12" s="10"/>
      <c r="P12" s="13">
        <f>IF(D12=Lookups!$B$4,1,IF(D12=Lookups!$B$5,2,IF(D12=Lookups!$B$6,3,IF(D12=Lookups!$B$7,4,IF(D12=Lookups!$B$8,5,0)))))</f>
        <v>0</v>
      </c>
      <c r="Q12" s="13">
        <f>IF(E12=Lookups!$C$4,1,IF(E12=Lookups!$C$5,2,IF(E12=Lookups!$C$6,3,IF(E12=Lookups!$C$7,4,IF(E12=Lookups!$C$8,5,0)))))</f>
        <v>0</v>
      </c>
      <c r="S12" t="s">
        <v>67</v>
      </c>
      <c r="U12" s="13">
        <f>IF(I12=Lookups!$B$4,1,IF(I12=Lookups!$B$5,2,IF(I12=Lookups!$B$6,3,IF(I12=Lookups!$B$7,4,IF(I12=Lookups!$B$8,5,0)))))</f>
        <v>0</v>
      </c>
      <c r="V12" s="13">
        <f>IF(J12=Lookups!$C$4,1,IF(J12=Lookups!$C$5,2,IF(J12=Lookups!$C$6,3,IF(J12=Lookups!$C$7,4,IF(J12=Lookups!$C$8,5,0)))))</f>
        <v>0</v>
      </c>
    </row>
    <row r="13" spans="2:22" ht="43.5" x14ac:dyDescent="0.35">
      <c r="B13" s="31"/>
      <c r="C13" s="8" t="s">
        <v>45</v>
      </c>
      <c r="D13" s="4"/>
      <c r="E13" s="4"/>
      <c r="F13" s="4" t="str">
        <f>IF(P13*Q13=0,$S$14,VLOOKUP(Q13,Lookups!$D$4:$J$8,'Planning Phase'!P13+2))</f>
        <v>Select L  &amp; C</v>
      </c>
      <c r="G13" s="5"/>
      <c r="H13" s="5"/>
      <c r="I13" s="4"/>
      <c r="J13" s="4"/>
      <c r="K13" s="4" t="str">
        <f>IF(U13*V13=0,$S$14,VLOOKUP(V13,Lookups!$D$4:$J$8,'Planning Phase'!U13+2))</f>
        <v>Select L  &amp; C</v>
      </c>
      <c r="L13" s="11"/>
      <c r="M13" s="10"/>
      <c r="N13" s="10"/>
      <c r="P13" s="13">
        <f>IF(D13=Lookups!$B$4,1,IF(D13=Lookups!$B$5,2,IF(D13=Lookups!$B$6,3,IF(D13=Lookups!$B$7,4,IF(D13=Lookups!$B$8,5,0)))))</f>
        <v>0</v>
      </c>
      <c r="Q13" s="13">
        <f>IF(E13=Lookups!$C$4,1,IF(E13=Lookups!$C$5,2,IF(E13=Lookups!$C$6,3,IF(E13=Lookups!$C$7,4,IF(E13=Lookups!$C$8,5,0)))))</f>
        <v>0</v>
      </c>
      <c r="S13" t="s">
        <v>68</v>
      </c>
      <c r="U13" s="13">
        <f>IF(I13=Lookups!$B$4,1,IF(I13=Lookups!$B$5,2,IF(I13=Lookups!$B$6,3,IF(I13=Lookups!$B$7,4,IF(I13=Lookups!$B$8,5,0)))))</f>
        <v>0</v>
      </c>
      <c r="V13" s="13">
        <f>IF(J13=Lookups!$C$4,1,IF(J13=Lookups!$C$5,2,IF(J13=Lookups!$C$6,3,IF(J13=Lookups!$C$7,4,IF(J13=Lookups!$C$8,5,0)))))</f>
        <v>0</v>
      </c>
    </row>
    <row r="14" spans="2:22" ht="29" x14ac:dyDescent="0.35">
      <c r="B14" s="31"/>
      <c r="C14" s="8" t="s">
        <v>46</v>
      </c>
      <c r="D14" s="4"/>
      <c r="E14" s="4"/>
      <c r="F14" s="4" t="str">
        <f>IF(P14*Q14=0,$S$14,VLOOKUP(Q14,Lookups!$D$4:$J$8,'Planning Phase'!P14+2))</f>
        <v>Select L  &amp; C</v>
      </c>
      <c r="G14" s="5"/>
      <c r="H14" s="5"/>
      <c r="I14" s="4"/>
      <c r="J14" s="4"/>
      <c r="K14" s="4" t="str">
        <f>IF(U14*V14=0,$S$14,VLOOKUP(V14,Lookups!$D$4:$J$8,'Planning Phase'!U14+2))</f>
        <v>Select L  &amp; C</v>
      </c>
      <c r="L14" s="11"/>
      <c r="M14" s="10"/>
      <c r="N14" s="10"/>
      <c r="P14" s="13">
        <f>IF(D14=Lookups!$B$4,1,IF(D14=Lookups!$B$5,2,IF(D14=Lookups!$B$6,3,IF(D14=Lookups!$B$7,4,IF(D14=Lookups!$B$8,5,0)))))</f>
        <v>0</v>
      </c>
      <c r="Q14" s="13">
        <f>IF(E14=Lookups!$C$4,1,IF(E14=Lookups!$C$5,2,IF(E14=Lookups!$C$6,3,IF(E14=Lookups!$C$7,4,IF(E14=Lookups!$C$8,5,0)))))</f>
        <v>0</v>
      </c>
      <c r="S14" t="str">
        <f>IF(AC14*AD14=0,"Select L  &amp; C",VLOOKUP(AD14,Lookups!Q8:W12,'Planning Phase'!AC14+2))</f>
        <v>Select L  &amp; C</v>
      </c>
      <c r="U14" s="13">
        <f>IF(I14=Lookups!$B$4,1,IF(I14=Lookups!$B$5,2,IF(I14=Lookups!$B$6,3,IF(I14=Lookups!$B$7,4,IF(I14=Lookups!$B$8,5,0)))))</f>
        <v>0</v>
      </c>
      <c r="V14" s="13">
        <f>IF(J14=Lookups!$C$4,1,IF(J14=Lookups!$C$5,2,IF(J14=Lookups!$C$6,3,IF(J14=Lookups!$C$7,4,IF(J14=Lookups!$C$8,5,0)))))</f>
        <v>0</v>
      </c>
    </row>
    <row r="15" spans="2:22" x14ac:dyDescent="0.35">
      <c r="B15" s="31"/>
      <c r="C15" s="8" t="s">
        <v>49</v>
      </c>
      <c r="D15" s="4"/>
      <c r="E15" s="4"/>
      <c r="F15" s="4" t="str">
        <f>IF(P15*Q15=0,$S$14,VLOOKUP(Q15,Lookups!$D$4:$J$8,'Planning Phase'!P15+2))</f>
        <v>Select L  &amp; C</v>
      </c>
      <c r="G15" s="5"/>
      <c r="H15" s="5"/>
      <c r="I15" s="4"/>
      <c r="J15" s="4"/>
      <c r="K15" s="4" t="str">
        <f>IF(U15*V15=0,$S$14,VLOOKUP(V15,Lookups!$D$4:$J$8,'Planning Phase'!U15+2))</f>
        <v>Select L  &amp; C</v>
      </c>
      <c r="L15" s="11"/>
      <c r="M15" s="10"/>
      <c r="N15" s="10"/>
      <c r="P15" s="13">
        <f>IF(D15=Lookups!$B$4,1,IF(D15=Lookups!$B$5,2,IF(D15=Lookups!$B$6,3,IF(D15=Lookups!$B$7,4,IF(D15=Lookups!$B$8,5,0)))))</f>
        <v>0</v>
      </c>
      <c r="Q15" s="13">
        <f>IF(E15=Lookups!$C$4,1,IF(E15=Lookups!$C$5,2,IF(E15=Lookups!$C$6,3,IF(E15=Lookups!$C$7,4,IF(E15=Lookups!$C$8,5,0)))))</f>
        <v>0</v>
      </c>
      <c r="U15" s="13">
        <f>IF(I15=Lookups!$B$4,1,IF(I15=Lookups!$B$5,2,IF(I15=Lookups!$B$6,3,IF(I15=Lookups!$B$7,4,IF(I15=Lookups!$B$8,5,0)))))</f>
        <v>0</v>
      </c>
      <c r="V15" s="13">
        <f>IF(J15=Lookups!$C$4,1,IF(J15=Lookups!$C$5,2,IF(J15=Lookups!$C$6,3,IF(J15=Lookups!$C$7,4,IF(J15=Lookups!$C$8,5,0)))))</f>
        <v>0</v>
      </c>
    </row>
    <row r="16" spans="2:22" ht="29" x14ac:dyDescent="0.35">
      <c r="B16" s="30"/>
      <c r="C16" s="8" t="s">
        <v>47</v>
      </c>
      <c r="D16" s="4"/>
      <c r="E16" s="4"/>
      <c r="F16" s="4" t="str">
        <f>IF(P16*Q16=0,$S$14,VLOOKUP(Q16,Lookups!$D$4:$J$8,'Planning Phase'!P16+2))</f>
        <v>Select L  &amp; C</v>
      </c>
      <c r="G16" s="5"/>
      <c r="H16" s="5"/>
      <c r="I16" s="4"/>
      <c r="J16" s="4"/>
      <c r="K16" s="4" t="str">
        <f>IF(U16*V16=0,$S$14,VLOOKUP(V16,Lookups!$D$4:$J$8,'Planning Phase'!U16+2))</f>
        <v>Select L  &amp; C</v>
      </c>
      <c r="L16" s="11"/>
      <c r="M16" s="10"/>
      <c r="N16" s="10"/>
      <c r="P16" s="13">
        <f>IF(D16=Lookups!$B$4,1,IF(D16=Lookups!$B$5,2,IF(D16=Lookups!$B$6,3,IF(D16=Lookups!$B$7,4,IF(D16=Lookups!$B$8,5,0)))))</f>
        <v>0</v>
      </c>
      <c r="Q16" s="13">
        <f>IF(E16=Lookups!$C$4,1,IF(E16=Lookups!$C$5,2,IF(E16=Lookups!$C$6,3,IF(E16=Lookups!$C$7,4,IF(E16=Lookups!$C$8,5,0)))))</f>
        <v>0</v>
      </c>
      <c r="U16" s="13">
        <f>IF(I16=Lookups!$B$4,1,IF(I16=Lookups!$B$5,2,IF(I16=Lookups!$B$6,3,IF(I16=Lookups!$B$7,4,IF(I16=Lookups!$B$8,5,0)))))</f>
        <v>0</v>
      </c>
      <c r="V16" s="13">
        <f>IF(J16=Lookups!$C$4,1,IF(J16=Lookups!$C$5,2,IF(J16=Lookups!$C$6,3,IF(J16=Lookups!$C$7,4,IF(J16=Lookups!$C$8,5,0)))))</f>
        <v>0</v>
      </c>
    </row>
    <row r="17" spans="2:22" ht="29" x14ac:dyDescent="0.35">
      <c r="B17" s="29" t="s">
        <v>48</v>
      </c>
      <c r="C17" s="8" t="s">
        <v>70</v>
      </c>
      <c r="D17" s="4"/>
      <c r="E17" s="4"/>
      <c r="F17" s="4" t="str">
        <f>IF(P17*Q17=0,$S$14,VLOOKUP(Q17,Lookups!$D$4:$J$8,'Planning Phase'!P17+2))</f>
        <v>Select L  &amp; C</v>
      </c>
      <c r="G17" s="5"/>
      <c r="H17" s="5"/>
      <c r="I17" s="4"/>
      <c r="J17" s="4"/>
      <c r="K17" s="4" t="str">
        <f>IF(U17*V17=0,$S$14,VLOOKUP(V17,Lookups!$D$4:$J$8,'Planning Phase'!U17+2))</f>
        <v>Select L  &amp; C</v>
      </c>
      <c r="L17" s="4"/>
      <c r="M17" s="5"/>
      <c r="N17" s="5"/>
      <c r="P17" s="13">
        <f>IF(D17=Lookups!$B$4,1,IF(D17=Lookups!$B$5,2,IF(D17=Lookups!$B$6,3,IF(D17=Lookups!$B$7,4,IF(D17=Lookups!$B$8,5,0)))))</f>
        <v>0</v>
      </c>
      <c r="Q17" s="13">
        <f>IF(E17=Lookups!$C$4,1,IF(E17=Lookups!$C$5,2,IF(E17=Lookups!$C$6,3,IF(E17=Lookups!$C$7,4,IF(E17=Lookups!$C$8,5,0)))))</f>
        <v>0</v>
      </c>
      <c r="U17" s="13">
        <f>IF(I17=Lookups!$B$4,1,IF(I17=Lookups!$B$5,2,IF(I17=Lookups!$B$6,3,IF(I17=Lookups!$B$7,4,IF(I17=Lookups!$B$8,5,0)))))</f>
        <v>0</v>
      </c>
      <c r="V17" s="13">
        <f>IF(J17=Lookups!$C$4,1,IF(J17=Lookups!$C$5,2,IF(J17=Lookups!$C$6,3,IF(J17=Lookups!$C$7,4,IF(J17=Lookups!$C$8,5,0)))))</f>
        <v>0</v>
      </c>
    </row>
    <row r="18" spans="2:22" ht="43.5" x14ac:dyDescent="0.35">
      <c r="B18" s="30"/>
      <c r="C18" s="8" t="s">
        <v>50</v>
      </c>
      <c r="D18" s="4"/>
      <c r="E18" s="4"/>
      <c r="F18" s="4" t="str">
        <f>IF(P18*Q18=0,$S$14,VLOOKUP(Q18,Lookups!$D$4:$J$8,'Planning Phase'!P18+2))</f>
        <v>Select L  &amp; C</v>
      </c>
      <c r="G18" s="5"/>
      <c r="H18" s="5"/>
      <c r="I18" s="4"/>
      <c r="J18" s="4"/>
      <c r="K18" s="4" t="str">
        <f>IF(U18*V18=0,$S$14,VLOOKUP(V18,Lookups!$D$4:$J$8,'Planning Phase'!U18+2))</f>
        <v>Select L  &amp; C</v>
      </c>
      <c r="L18" s="4"/>
      <c r="M18" s="5"/>
      <c r="N18" s="5"/>
      <c r="P18" s="13">
        <f>IF(D18=Lookups!$B$4,1,IF(D18=Lookups!$B$5,2,IF(D18=Lookups!$B$6,3,IF(D18=Lookups!$B$7,4,IF(D18=Lookups!$B$8,5,0)))))</f>
        <v>0</v>
      </c>
      <c r="Q18" s="13">
        <f>IF(E18=Lookups!$C$4,1,IF(E18=Lookups!$C$5,2,IF(E18=Lookups!$C$6,3,IF(E18=Lookups!$C$7,4,IF(E18=Lookups!$C$8,5,0)))))</f>
        <v>0</v>
      </c>
      <c r="U18" s="13">
        <f>IF(I18=Lookups!$B$4,1,IF(I18=Lookups!$B$5,2,IF(I18=Lookups!$B$6,3,IF(I18=Lookups!$B$7,4,IF(I18=Lookups!$B$8,5,0)))))</f>
        <v>0</v>
      </c>
      <c r="V18" s="13">
        <f>IF(J18=Lookups!$C$4,1,IF(J18=Lookups!$C$5,2,IF(J18=Lookups!$C$6,3,IF(J18=Lookups!$C$7,4,IF(J18=Lookups!$C$8,5,0)))))</f>
        <v>0</v>
      </c>
    </row>
    <row r="19" spans="2:22" ht="72.5" x14ac:dyDescent="0.35">
      <c r="B19" s="19" t="s">
        <v>103</v>
      </c>
      <c r="C19" s="8" t="s">
        <v>105</v>
      </c>
      <c r="D19" s="4"/>
      <c r="E19" s="4"/>
      <c r="F19" s="4" t="str">
        <f>IF(P19*Q19=0,$S$14,VLOOKUP(Q19,Lookups!$D$4:$J$8,'Planning Phase'!P19+2))</f>
        <v>Select L  &amp; C</v>
      </c>
      <c r="G19" s="5"/>
      <c r="H19" s="5"/>
      <c r="I19" s="4"/>
      <c r="J19" s="4"/>
      <c r="K19" s="4" t="str">
        <f>IF(U19*V19=0,$S$14,VLOOKUP(V19,Lookups!$D$4:$J$8,'Planning Phase'!U19+2))</f>
        <v>Select L  &amp; C</v>
      </c>
      <c r="L19" s="4"/>
      <c r="M19" s="5"/>
      <c r="N19" s="5"/>
      <c r="P19" s="13">
        <f>IF(D19=Lookups!$B$4,1,IF(D19=Lookups!$B$5,2,IF(D19=Lookups!$B$6,3,IF(D19=Lookups!$B$7,4,IF(D19=Lookups!$B$8,5,0)))))</f>
        <v>0</v>
      </c>
      <c r="Q19" s="13">
        <f>IF(E19=Lookups!$C$4,1,IF(E19=Lookups!$C$5,2,IF(E19=Lookups!$C$6,3,IF(E19=Lookups!$C$7,4,IF(E19=Lookups!$C$8,5,0)))))</f>
        <v>0</v>
      </c>
      <c r="U19" s="13">
        <f>IF(I19=Lookups!$B$4,1,IF(I19=Lookups!$B$5,2,IF(I19=Lookups!$B$6,3,IF(I19=Lookups!$B$7,4,IF(I19=Lookups!$B$8,5,0)))))</f>
        <v>0</v>
      </c>
      <c r="V19" s="13">
        <f>IF(J19=Lookups!$C$4,1,IF(J19=Lookups!$C$5,2,IF(J19=Lookups!$C$6,3,IF(J19=Lookups!$C$7,4,IF(J19=Lookups!$C$8,5,0)))))</f>
        <v>0</v>
      </c>
    </row>
    <row r="20" spans="2:22" ht="72.5" x14ac:dyDescent="0.35">
      <c r="B20" s="8" t="s">
        <v>104</v>
      </c>
      <c r="C20" s="8" t="s">
        <v>106</v>
      </c>
      <c r="D20" s="4"/>
      <c r="E20" s="4"/>
      <c r="F20" s="4" t="str">
        <f>IF(P20*Q20=0,$S$14,VLOOKUP(Q20,Lookups!$D$4:$J$8,'Planning Phase'!P20+2))</f>
        <v>Select L  &amp; C</v>
      </c>
      <c r="G20" s="5"/>
      <c r="H20" s="5"/>
      <c r="I20" s="4"/>
      <c r="J20" s="4"/>
      <c r="K20" s="4" t="str">
        <f>IF(U20*V20=0,$S$14,VLOOKUP(V20,Lookups!$D$4:$J$8,'Planning Phase'!U20+2))</f>
        <v>Select L  &amp; C</v>
      </c>
      <c r="L20" s="4"/>
      <c r="M20" s="5"/>
      <c r="N20" s="5"/>
    </row>
    <row r="21" spans="2:22" ht="43.5" x14ac:dyDescent="0.35">
      <c r="B21" s="29" t="s">
        <v>146</v>
      </c>
      <c r="C21" s="8" t="s">
        <v>147</v>
      </c>
      <c r="D21" s="4"/>
      <c r="E21" s="4"/>
      <c r="F21" s="4" t="str">
        <f>IF(P21*Q21=0,$S$14,VLOOKUP(Q21,Lookups!$D$4:$J$8,'Planning Phase'!P21+2))</f>
        <v>Select L  &amp; C</v>
      </c>
      <c r="G21" s="5"/>
      <c r="H21" s="5"/>
      <c r="I21" s="4"/>
      <c r="J21" s="4"/>
      <c r="K21" s="4" t="str">
        <f>IF(U21*V21=0,$S$14,VLOOKUP(V21,Lookups!$D$4:$J$8,'Planning Phase'!U21+2))</f>
        <v>Select L  &amp; C</v>
      </c>
      <c r="L21" s="4"/>
      <c r="M21" s="5"/>
      <c r="N21" s="5"/>
    </row>
    <row r="22" spans="2:22" ht="29" x14ac:dyDescent="0.35">
      <c r="B22" s="30"/>
      <c r="C22" s="8" t="s">
        <v>148</v>
      </c>
      <c r="D22" s="4"/>
      <c r="E22" s="4"/>
      <c r="F22" s="4" t="str">
        <f>IF(P22*Q22=0,$S$14,VLOOKUP(Q22,Lookups!$D$4:$J$8,'Planning Phase'!P22+2))</f>
        <v>Select L  &amp; C</v>
      </c>
      <c r="G22" s="5"/>
      <c r="H22" s="5"/>
      <c r="I22" s="4"/>
      <c r="J22" s="4"/>
      <c r="K22" s="4" t="str">
        <f>IF(U22*V22=0,$S$14,VLOOKUP(V22,Lookups!$D$4:$J$8,'Planning Phase'!U22+2))</f>
        <v>Select L  &amp; C</v>
      </c>
      <c r="L22" s="4"/>
      <c r="M22" s="5"/>
      <c r="N22" s="5"/>
      <c r="P22" s="13">
        <f>IF(D22=Lookups!$B$4,1,IF(D22=Lookups!$B$5,2,IF(D22=Lookups!$B$6,3,IF(D22=Lookups!$B$7,4,IF(D22=Lookups!$B$8,5,0)))))</f>
        <v>0</v>
      </c>
      <c r="Q22" s="13">
        <f>IF(E22=Lookups!$C$4,1,IF(E22=Lookups!$C$5,2,IF(E22=Lookups!$C$6,3,IF(E22=Lookups!$C$7,4,IF(E22=Lookups!$C$8,5,0)))))</f>
        <v>0</v>
      </c>
      <c r="U22" s="13">
        <f>IF(I22=Lookups!$B$4,1,IF(I22=Lookups!$B$5,2,IF(I22=Lookups!$B$6,3,IF(I22=Lookups!$B$7,4,IF(I22=Lookups!$B$8,5,0)))))</f>
        <v>0</v>
      </c>
      <c r="V22" s="13">
        <f>IF(J22=Lookups!$C$4,1,IF(J22=Lookups!$C$5,2,IF(J22=Lookups!$C$6,3,IF(J22=Lookups!$C$7,4,IF(J22=Lookups!$C$8,5,0)))))</f>
        <v>0</v>
      </c>
    </row>
    <row r="23" spans="2:22" x14ac:dyDescent="0.35">
      <c r="B23" s="27" t="s">
        <v>27</v>
      </c>
      <c r="C23" s="35"/>
      <c r="D23" s="35"/>
      <c r="E23" s="35"/>
      <c r="F23" s="35"/>
      <c r="G23" s="35"/>
      <c r="H23" s="35"/>
      <c r="I23" s="35"/>
      <c r="J23" s="35"/>
      <c r="K23" s="35"/>
      <c r="L23" s="35"/>
      <c r="M23" s="35"/>
      <c r="N23" s="28"/>
      <c r="P23" s="13">
        <f>IF(D23=Lookups!$B$4,1,IF(D23=Lookups!$B$5,2,IF(D23=Lookups!$B$6,3,IF(D23=Lookups!$B$7,4,IF(D23=Lookups!$B$8,5,0)))))</f>
        <v>0</v>
      </c>
      <c r="Q23" s="13">
        <f>IF(E23=Lookups!$C$4,1,IF(E23=Lookups!$C$5,2,IF(E23=Lookups!$C$6,3,IF(E23=Lookups!$C$7,4,IF(E23=Lookups!$C$8,5,0)))))</f>
        <v>0</v>
      </c>
      <c r="U23" s="13">
        <f>IF(I23=Lookups!$B$4,1,IF(I23=Lookups!$B$5,2,IF(I23=Lookups!$B$6,3,IF(I23=Lookups!$B$7,4,IF(I23=Lookups!$B$8,5,0)))))</f>
        <v>0</v>
      </c>
      <c r="V23" s="13">
        <f>IF(J23=Lookups!$C$4,1,IF(J23=Lookups!$C$5,2,IF(J23=Lookups!$C$6,3,IF(J23=Lookups!$C$7,4,IF(J23=Lookups!$C$8,5,0)))))</f>
        <v>0</v>
      </c>
    </row>
    <row r="24" spans="2:22" ht="58" x14ac:dyDescent="0.35">
      <c r="B24" s="29" t="s">
        <v>73</v>
      </c>
      <c r="C24" s="8" t="s">
        <v>75</v>
      </c>
      <c r="D24" s="4"/>
      <c r="E24" s="4"/>
      <c r="F24" s="4" t="str">
        <f>IF(P24*Q24=0,$S$14,VLOOKUP(Q24,Lookups!$D$4:$J$8,'Planning Phase'!P24+2))</f>
        <v>Select L  &amp; C</v>
      </c>
      <c r="G24" s="5"/>
      <c r="H24" s="5"/>
      <c r="I24" s="4"/>
      <c r="J24" s="4"/>
      <c r="K24" s="4" t="str">
        <f>IF(U24*V24=0,$S$14,VLOOKUP(V24,Lookups!$D$4:$J$8,'Planning Phase'!U24+2))</f>
        <v>Select L  &amp; C</v>
      </c>
      <c r="L24" s="4"/>
      <c r="M24" s="5"/>
      <c r="N24" s="5"/>
      <c r="P24" s="13">
        <f>IF(D24=Lookups!$B$4,1,IF(D24=Lookups!$B$5,2,IF(D24=Lookups!$B$6,3,IF(D24=Lookups!$B$7,4,IF(D24=Lookups!$B$8,5,0)))))</f>
        <v>0</v>
      </c>
      <c r="Q24" s="13">
        <f>IF(E24=Lookups!$C$4,1,IF(E24=Lookups!$C$5,2,IF(E24=Lookups!$C$6,3,IF(E24=Lookups!$C$7,4,IF(E24=Lookups!$C$8,5,0)))))</f>
        <v>0</v>
      </c>
      <c r="U24" s="13">
        <f>IF(I24=Lookups!$B$4,1,IF(I24=Lookups!$B$5,2,IF(I24=Lookups!$B$6,3,IF(I24=Lookups!$B$7,4,IF(I24=Lookups!$B$8,5,0)))))</f>
        <v>0</v>
      </c>
      <c r="V24" s="13">
        <f>IF(J24=Lookups!$C$4,1,IF(J24=Lookups!$C$5,2,IF(J24=Lookups!$C$6,3,IF(J24=Lookups!$C$7,4,IF(J24=Lookups!$C$8,5,0)))))</f>
        <v>0</v>
      </c>
    </row>
    <row r="25" spans="2:22" ht="29" x14ac:dyDescent="0.35">
      <c r="B25" s="31"/>
      <c r="C25" s="8" t="s">
        <v>74</v>
      </c>
      <c r="D25" s="4"/>
      <c r="E25" s="4"/>
      <c r="F25" s="4" t="str">
        <f>IF(P25*Q25=0,$S$14,VLOOKUP(Q25,Lookups!$D$4:$J$8,'Planning Phase'!P25+2))</f>
        <v>Select L  &amp; C</v>
      </c>
      <c r="G25" s="5"/>
      <c r="H25" s="5"/>
      <c r="I25" s="4"/>
      <c r="J25" s="4"/>
      <c r="K25" s="4" t="str">
        <f>IF(U25*V25=0,$S$14,VLOOKUP(V25,Lookups!$D$4:$J$8,'Planning Phase'!U25+2))</f>
        <v>Select L  &amp; C</v>
      </c>
      <c r="L25" s="4"/>
      <c r="M25" s="5"/>
      <c r="N25" s="5"/>
      <c r="P25" s="13">
        <f>IF(D25=Lookups!$B$4,1,IF(D25=Lookups!$B$5,2,IF(D25=Lookups!$B$6,3,IF(D25=Lookups!$B$7,4,IF(D25=Lookups!$B$8,5,0)))))</f>
        <v>0</v>
      </c>
      <c r="Q25" s="13">
        <f>IF(E25=Lookups!$C$4,1,IF(E25=Lookups!$C$5,2,IF(E25=Lookups!$C$6,3,IF(E25=Lookups!$C$7,4,IF(E25=Lookups!$C$8,5,0)))))</f>
        <v>0</v>
      </c>
      <c r="U25" s="13">
        <f>IF(I25=Lookups!$B$4,1,IF(I25=Lookups!$B$5,2,IF(I25=Lookups!$B$6,3,IF(I25=Lookups!$B$7,4,IF(I25=Lookups!$B$8,5,0)))))</f>
        <v>0</v>
      </c>
      <c r="V25" s="13">
        <f>IF(J25=Lookups!$C$4,1,IF(J25=Lookups!$C$5,2,IF(J25=Lookups!$C$6,3,IF(J25=Lookups!$C$7,4,IF(J25=Lookups!$C$8,5,0)))))</f>
        <v>0</v>
      </c>
    </row>
    <row r="26" spans="2:22" ht="29" x14ac:dyDescent="0.35">
      <c r="B26" s="30"/>
      <c r="C26" s="8" t="s">
        <v>76</v>
      </c>
      <c r="D26" s="4"/>
      <c r="E26" s="4"/>
      <c r="F26" s="4" t="str">
        <f>IF(P26*Q26=0,$S$14,VLOOKUP(Q26,Lookups!$D$4:$J$8,'Planning Phase'!P26+2))</f>
        <v>Select L  &amp; C</v>
      </c>
      <c r="G26" s="5"/>
      <c r="H26" s="5"/>
      <c r="I26" s="4"/>
      <c r="J26" s="4"/>
      <c r="K26" s="4" t="str">
        <f>IF(U26*V26=0,$S$14,VLOOKUP(V26,Lookups!$D$4:$J$8,'Planning Phase'!U26+2))</f>
        <v>Select L  &amp; C</v>
      </c>
      <c r="L26" s="4"/>
      <c r="M26" s="5"/>
      <c r="N26" s="5"/>
      <c r="P26" s="13">
        <f>IF(D26=Lookups!$B$4,1,IF(D26=Lookups!$B$5,2,IF(D26=Lookups!$B$6,3,IF(D26=Lookups!$B$7,4,IF(D26=Lookups!$B$8,5,0)))))</f>
        <v>0</v>
      </c>
      <c r="Q26" s="13">
        <f>IF(E26=Lookups!$C$4,1,IF(E26=Lookups!$C$5,2,IF(E26=Lookups!$C$6,3,IF(E26=Lookups!$C$7,4,IF(E26=Lookups!$C$8,5,0)))))</f>
        <v>0</v>
      </c>
      <c r="U26" s="13">
        <f>IF(I26=Lookups!$B$4,1,IF(I26=Lookups!$B$5,2,IF(I26=Lookups!$B$6,3,IF(I26=Lookups!$B$7,4,IF(I26=Lookups!$B$8,5,0)))))</f>
        <v>0</v>
      </c>
      <c r="V26" s="13">
        <f>IF(J26=Lookups!$C$4,1,IF(J26=Lookups!$C$5,2,IF(J26=Lookups!$C$6,3,IF(J26=Lookups!$C$7,4,IF(J26=Lookups!$C$8,5,0)))))</f>
        <v>0</v>
      </c>
    </row>
    <row r="27" spans="2:22" ht="72.5" x14ac:dyDescent="0.35">
      <c r="B27" s="29" t="s">
        <v>77</v>
      </c>
      <c r="C27" s="8" t="s">
        <v>78</v>
      </c>
      <c r="D27" s="4"/>
      <c r="E27" s="4"/>
      <c r="F27" s="4" t="str">
        <f>IF(P27*Q27=0,$S$14,VLOOKUP(Q27,Lookups!$D$4:$J$8,'Planning Phase'!P27+2))</f>
        <v>Select L  &amp; C</v>
      </c>
      <c r="G27" s="5"/>
      <c r="H27" s="5"/>
      <c r="I27" s="4"/>
      <c r="J27" s="4"/>
      <c r="K27" s="4" t="str">
        <f>IF(U27*V27=0,$S$14,VLOOKUP(V27,Lookups!$D$4:$J$8,'Planning Phase'!U27+2))</f>
        <v>Select L  &amp; C</v>
      </c>
      <c r="L27" s="4"/>
      <c r="M27" s="5"/>
      <c r="N27" s="5"/>
      <c r="P27" s="13">
        <f>IF(D27=Lookups!$B$4,1,IF(D27=Lookups!$B$5,2,IF(D27=Lookups!$B$6,3,IF(D27=Lookups!$B$7,4,IF(D27=Lookups!$B$8,5,0)))))</f>
        <v>0</v>
      </c>
      <c r="Q27" s="13">
        <f>IF(E27=Lookups!$C$4,1,IF(E27=Lookups!$C$5,2,IF(E27=Lookups!$C$6,3,IF(E27=Lookups!$C$7,4,IF(E27=Lookups!$C$8,5,0)))))</f>
        <v>0</v>
      </c>
      <c r="U27" s="13">
        <f>IF(I27=Lookups!$B$4,1,IF(I27=Lookups!$B$5,2,IF(I27=Lookups!$B$6,3,IF(I27=Lookups!$B$7,4,IF(I27=Lookups!$B$8,5,0)))))</f>
        <v>0</v>
      </c>
      <c r="V27" s="13">
        <f>IF(J27=Lookups!$C$4,1,IF(J27=Lookups!$C$5,2,IF(J27=Lookups!$C$6,3,IF(J27=Lookups!$C$7,4,IF(J27=Lookups!$C$8,5,0)))))</f>
        <v>0</v>
      </c>
    </row>
    <row r="28" spans="2:22" x14ac:dyDescent="0.35">
      <c r="B28" s="30"/>
      <c r="C28" s="8" t="s">
        <v>28</v>
      </c>
      <c r="D28" s="4"/>
      <c r="E28" s="4"/>
      <c r="F28" s="4" t="str">
        <f>IF(P28*Q28=0,$S$14,VLOOKUP(Q28,Lookups!$D$4:$J$8,'Planning Phase'!P28+2))</f>
        <v>Select L  &amp; C</v>
      </c>
      <c r="G28" s="5"/>
      <c r="H28" s="5"/>
      <c r="I28" s="4"/>
      <c r="J28" s="4"/>
      <c r="K28" s="4" t="str">
        <f>IF(U28*V28=0,$S$14,VLOOKUP(V28,Lookups!$D$4:$J$8,'Planning Phase'!U28+2))</f>
        <v>Select L  &amp; C</v>
      </c>
      <c r="L28" s="4"/>
      <c r="M28" s="5"/>
      <c r="N28" s="5"/>
      <c r="P28" s="13">
        <f>IF(D28=Lookups!$B$4,1,IF(D28=Lookups!$B$5,2,IF(D28=Lookups!$B$6,3,IF(D28=Lookups!$B$7,4,IF(D28=Lookups!$B$8,5,0)))))</f>
        <v>0</v>
      </c>
      <c r="Q28" s="13">
        <f>IF(E28=Lookups!$C$4,1,IF(E28=Lookups!$C$5,2,IF(E28=Lookups!$C$6,3,IF(E28=Lookups!$C$7,4,IF(E28=Lookups!$C$8,5,0)))))</f>
        <v>0</v>
      </c>
      <c r="U28" s="13">
        <f>IF(I28=Lookups!$B$4,1,IF(I28=Lookups!$B$5,2,IF(I28=Lookups!$B$6,3,IF(I28=Lookups!$B$7,4,IF(I28=Lookups!$B$8,5,0)))))</f>
        <v>0</v>
      </c>
      <c r="V28" s="13">
        <f>IF(J28=Lookups!$C$4,1,IF(J28=Lookups!$C$5,2,IF(J28=Lookups!$C$6,3,IF(J28=Lookups!$C$7,4,IF(J28=Lookups!$C$8,5,0)))))</f>
        <v>0</v>
      </c>
    </row>
    <row r="29" spans="2:22" ht="72.5" x14ac:dyDescent="0.35">
      <c r="B29" s="20" t="s">
        <v>244</v>
      </c>
      <c r="C29" s="8" t="s">
        <v>245</v>
      </c>
      <c r="D29" s="4"/>
      <c r="E29" s="4"/>
      <c r="F29" s="4" t="str">
        <f>IF(P29*Q29=0,$S$14,VLOOKUP(Q29,Lookups!$D$4:$J$8,'Planning Phase'!P29+2))</f>
        <v>Select L  &amp; C</v>
      </c>
      <c r="G29" s="5"/>
      <c r="H29" s="5"/>
      <c r="I29" s="4"/>
      <c r="J29" s="4"/>
      <c r="K29" s="4" t="str">
        <f>IF(U29*V29=0,$S$14,VLOOKUP(V29,Lookups!$D$4:$J$8,'Planning Phase'!U29+2))</f>
        <v>Select L  &amp; C</v>
      </c>
      <c r="L29" s="4"/>
      <c r="M29" s="5"/>
      <c r="N29" s="5"/>
      <c r="P29" s="13">
        <f>IF(D29=Lookups!$B$4,1,IF(D29=Lookups!$B$5,2,IF(D29=Lookups!$B$6,3,IF(D29=Lookups!$B$7,4,IF(D29=Lookups!$B$8,5,0)))))</f>
        <v>0</v>
      </c>
      <c r="Q29" s="13">
        <f>IF(E29=Lookups!$C$4,1,IF(E29=Lookups!$C$5,2,IF(E29=Lookups!$C$6,3,IF(E29=Lookups!$C$7,4,IF(E29=Lookups!$C$8,5,0)))))</f>
        <v>0</v>
      </c>
      <c r="U29" s="13">
        <f>IF(I29=Lookups!$B$4,1,IF(I29=Lookups!$B$5,2,IF(I29=Lookups!$B$6,3,IF(I29=Lookups!$B$7,4,IF(I29=Lookups!$B$8,5,0)))))</f>
        <v>0</v>
      </c>
      <c r="V29" s="13">
        <f>IF(J29=Lookups!$C$4,1,IF(J29=Lookups!$C$5,2,IF(J29=Lookups!$C$6,3,IF(J29=Lookups!$C$7,4,IF(J29=Lookups!$C$8,5,0)))))</f>
        <v>0</v>
      </c>
    </row>
    <row r="30" spans="2:22" ht="29" x14ac:dyDescent="0.35">
      <c r="B30" s="29" t="s">
        <v>91</v>
      </c>
      <c r="C30" s="8" t="s">
        <v>80</v>
      </c>
      <c r="D30" s="4"/>
      <c r="E30" s="4"/>
      <c r="F30" s="4" t="str">
        <f>IF(P30*Q30=0,$S$14,VLOOKUP(Q30,Lookups!$D$4:$J$8,'Planning Phase'!P30+2))</f>
        <v>Select L  &amp; C</v>
      </c>
      <c r="G30" s="5"/>
      <c r="H30" s="5"/>
      <c r="I30" s="4"/>
      <c r="J30" s="4"/>
      <c r="K30" s="4" t="str">
        <f>IF(U30*V30=0,$S$14,VLOOKUP(V30,Lookups!$D$4:$J$8,'Planning Phase'!U30+2))</f>
        <v>Select L  &amp; C</v>
      </c>
      <c r="L30" s="4"/>
      <c r="M30" s="5"/>
      <c r="N30" s="5"/>
      <c r="P30" s="13">
        <f>IF(D30=Lookups!$B$4,1,IF(D30=Lookups!$B$5,2,IF(D30=Lookups!$B$6,3,IF(D30=Lookups!$B$7,4,IF(D30=Lookups!$B$8,5,0)))))</f>
        <v>0</v>
      </c>
      <c r="Q30" s="13">
        <f>IF(E30=Lookups!$C$4,1,IF(E30=Lookups!$C$5,2,IF(E30=Lookups!$C$6,3,IF(E30=Lookups!$C$7,4,IF(E30=Lookups!$C$8,5,0)))))</f>
        <v>0</v>
      </c>
      <c r="U30" s="13">
        <f>IF(I30=Lookups!$B$4,1,IF(I30=Lookups!$B$5,2,IF(I30=Lookups!$B$6,3,IF(I30=Lookups!$B$7,4,IF(I30=Lookups!$B$8,5,0)))))</f>
        <v>0</v>
      </c>
      <c r="V30" s="13">
        <f>IF(J30=Lookups!$C$4,1,IF(J30=Lookups!$C$5,2,IF(J30=Lookups!$C$6,3,IF(J30=Lookups!$C$7,4,IF(J30=Lookups!$C$8,5,0)))))</f>
        <v>0</v>
      </c>
    </row>
    <row r="31" spans="2:22" ht="29" x14ac:dyDescent="0.35">
      <c r="B31" s="31"/>
      <c r="C31" s="8" t="s">
        <v>81</v>
      </c>
      <c r="D31" s="4"/>
      <c r="E31" s="4"/>
      <c r="F31" s="4" t="str">
        <f>IF(P31*Q31=0,$S$14,VLOOKUP(Q31,Lookups!$D$4:$J$8,'Planning Phase'!P31+2))</f>
        <v>Select L  &amp; C</v>
      </c>
      <c r="G31" s="5"/>
      <c r="H31" s="5"/>
      <c r="I31" s="4"/>
      <c r="J31" s="4"/>
      <c r="K31" s="4" t="str">
        <f>IF(U31*V31=0,$S$14,VLOOKUP(V31,Lookups!$D$4:$J$8,'Planning Phase'!U31+2))</f>
        <v>Select L  &amp; C</v>
      </c>
      <c r="L31" s="4"/>
      <c r="M31" s="5"/>
      <c r="N31" s="5"/>
      <c r="P31" s="13">
        <f>IF(D31=Lookups!$B$4,1,IF(D31=Lookups!$B$5,2,IF(D31=Lookups!$B$6,3,IF(D31=Lookups!$B$7,4,IF(D31=Lookups!$B$8,5,0)))))</f>
        <v>0</v>
      </c>
      <c r="Q31" s="13">
        <f>IF(E31=Lookups!$C$4,1,IF(E31=Lookups!$C$5,2,IF(E31=Lookups!$C$6,3,IF(E31=Lookups!$C$7,4,IF(E31=Lookups!$C$8,5,0)))))</f>
        <v>0</v>
      </c>
      <c r="U31" s="13">
        <f>IF(I31=Lookups!$B$4,1,IF(I31=Lookups!$B$5,2,IF(I31=Lookups!$B$6,3,IF(I31=Lookups!$B$7,4,IF(I31=Lookups!$B$8,5,0)))))</f>
        <v>0</v>
      </c>
      <c r="V31" s="13">
        <f>IF(J31=Lookups!$C$4,1,IF(J31=Lookups!$C$5,2,IF(J31=Lookups!$C$6,3,IF(J31=Lookups!$C$7,4,IF(J31=Lookups!$C$8,5,0)))))</f>
        <v>0</v>
      </c>
    </row>
    <row r="32" spans="2:22" ht="29" x14ac:dyDescent="0.35">
      <c r="B32" s="31"/>
      <c r="C32" s="8" t="s">
        <v>111</v>
      </c>
      <c r="D32" s="4"/>
      <c r="E32" s="4"/>
      <c r="F32" s="4" t="str">
        <f>IF(P32*Q32=0,$S$14,VLOOKUP(Q32,Lookups!$D$4:$J$8,'Planning Phase'!P32+2))</f>
        <v>Select L  &amp; C</v>
      </c>
      <c r="G32" s="5"/>
      <c r="H32" s="5"/>
      <c r="I32" s="4"/>
      <c r="J32" s="4"/>
      <c r="K32" s="4" t="str">
        <f>IF(U32*V32=0,$S$14,VLOOKUP(V32,Lookups!$D$4:$J$8,'Planning Phase'!U32+2))</f>
        <v>Select L  &amp; C</v>
      </c>
      <c r="L32" s="4"/>
      <c r="M32" s="5"/>
      <c r="N32" s="5"/>
      <c r="P32" s="13">
        <f>IF(D32=Lookups!$B$4,1,IF(D32=Lookups!$B$5,2,IF(D32=Lookups!$B$6,3,IF(D32=Lookups!$B$7,4,IF(D32=Lookups!$B$8,5,0)))))</f>
        <v>0</v>
      </c>
      <c r="Q32" s="13">
        <f>IF(E32=Lookups!$C$4,1,IF(E32=Lookups!$C$5,2,IF(E32=Lookups!$C$6,3,IF(E32=Lookups!$C$7,4,IF(E32=Lookups!$C$8,5,0)))))</f>
        <v>0</v>
      </c>
      <c r="U32" s="13">
        <f>IF(I32=Lookups!$B$4,1,IF(I32=Lookups!$B$5,2,IF(I32=Lookups!$B$6,3,IF(I32=Lookups!$B$7,4,IF(I32=Lookups!$B$8,5,0)))))</f>
        <v>0</v>
      </c>
      <c r="V32" s="13">
        <f>IF(J32=Lookups!$C$4,1,IF(J32=Lookups!$C$5,2,IF(J32=Lookups!$C$6,3,IF(J32=Lookups!$C$7,4,IF(J32=Lookups!$C$8,5,0)))))</f>
        <v>0</v>
      </c>
    </row>
    <row r="33" spans="2:22" ht="48.4" customHeight="1" x14ac:dyDescent="0.35">
      <c r="B33" s="30"/>
      <c r="C33" s="8" t="s">
        <v>113</v>
      </c>
      <c r="D33" s="4"/>
      <c r="E33" s="4"/>
      <c r="F33" s="4" t="str">
        <f>IF(P33*Q33=0,$S$14,VLOOKUP(Q33,Lookups!$D$4:$J$8,'Planning Phase'!P33+2))</f>
        <v>Select L  &amp; C</v>
      </c>
      <c r="G33" s="5"/>
      <c r="H33" s="5"/>
      <c r="I33" s="4"/>
      <c r="J33" s="4"/>
      <c r="K33" s="4" t="str">
        <f>IF(U33*V33=0,$S$14,VLOOKUP(V33,Lookups!$D$4:$J$8,'Planning Phase'!U33+2))</f>
        <v>Select L  &amp; C</v>
      </c>
      <c r="L33" s="4"/>
      <c r="M33" s="5"/>
      <c r="N33" s="5"/>
      <c r="P33" s="13">
        <f>IF(D33=Lookups!$B$4,1,IF(D33=Lookups!$B$5,2,IF(D33=Lookups!$B$6,3,IF(D33=Lookups!$B$7,4,IF(D33=Lookups!$B$8,5,0)))))</f>
        <v>0</v>
      </c>
      <c r="Q33" s="13">
        <f>IF(E33=Lookups!$C$4,1,IF(E33=Lookups!$C$5,2,IF(E33=Lookups!$C$6,3,IF(E33=Lookups!$C$7,4,IF(E33=Lookups!$C$8,5,0)))))</f>
        <v>0</v>
      </c>
      <c r="U33" s="13">
        <f>IF(I33=Lookups!$B$4,1,IF(I33=Lookups!$B$5,2,IF(I33=Lookups!$B$6,3,IF(I33=Lookups!$B$7,4,IF(I33=Lookups!$B$8,5,0)))))</f>
        <v>0</v>
      </c>
      <c r="V33" s="13">
        <f>IF(J33=Lookups!$C$4,1,IF(J33=Lookups!$C$5,2,IF(J33=Lookups!$C$6,3,IF(J33=Lookups!$C$7,4,IF(J33=Lookups!$C$8,5,0)))))</f>
        <v>0</v>
      </c>
    </row>
    <row r="34" spans="2:22" ht="43.5" x14ac:dyDescent="0.35">
      <c r="B34" s="29" t="s">
        <v>85</v>
      </c>
      <c r="C34" s="8" t="s">
        <v>86</v>
      </c>
      <c r="D34" s="4"/>
      <c r="E34" s="4"/>
      <c r="F34" s="4" t="str">
        <f>IF(P34*Q34=0,$S$14,VLOOKUP(Q34,Lookups!$D$4:$J$8,'Planning Phase'!P34+2))</f>
        <v>Select L  &amp; C</v>
      </c>
      <c r="G34" s="5"/>
      <c r="H34" s="5"/>
      <c r="I34" s="4"/>
      <c r="J34" s="4"/>
      <c r="K34" s="4" t="str">
        <f>IF(U34*V34=0,$S$14,VLOOKUP(V34,Lookups!$D$4:$J$8,'Planning Phase'!U34+2))</f>
        <v>Select L  &amp; C</v>
      </c>
      <c r="L34" s="4"/>
      <c r="M34" s="5"/>
      <c r="N34" s="5"/>
      <c r="P34" s="13">
        <f>IF(D34=Lookups!$B$4,1,IF(D34=Lookups!$B$5,2,IF(D34=Lookups!$B$6,3,IF(D34=Lookups!$B$7,4,IF(D34=Lookups!$B$8,5,0)))))</f>
        <v>0</v>
      </c>
      <c r="Q34" s="13">
        <f>IF(E34=Lookups!$C$4,1,IF(E34=Lookups!$C$5,2,IF(E34=Lookups!$C$6,3,IF(E34=Lookups!$C$7,4,IF(E34=Lookups!$C$8,5,0)))))</f>
        <v>0</v>
      </c>
      <c r="U34" s="13">
        <f>IF(I34=Lookups!$B$4,1,IF(I34=Lookups!$B$5,2,IF(I34=Lookups!$B$6,3,IF(I34=Lookups!$B$7,4,IF(I34=Lookups!$B$8,5,0)))))</f>
        <v>0</v>
      </c>
      <c r="V34" s="13">
        <f>IF(J34=Lookups!$C$4,1,IF(J34=Lookups!$C$5,2,IF(J34=Lookups!$C$6,3,IF(J34=Lookups!$C$7,4,IF(J34=Lookups!$C$8,5,0)))))</f>
        <v>0</v>
      </c>
    </row>
    <row r="35" spans="2:22" ht="43.5" x14ac:dyDescent="0.35">
      <c r="B35" s="30"/>
      <c r="C35" s="8" t="s">
        <v>87</v>
      </c>
      <c r="D35" s="4"/>
      <c r="E35" s="4"/>
      <c r="F35" s="4" t="str">
        <f>IF(P35*Q35=0,$S$14,VLOOKUP(Q35,Lookups!$D$4:$J$8,'Planning Phase'!P35+2))</f>
        <v>Select L  &amp; C</v>
      </c>
      <c r="G35" s="5"/>
      <c r="H35" s="5"/>
      <c r="I35" s="4"/>
      <c r="J35" s="4"/>
      <c r="K35" s="4" t="str">
        <f>IF(U35*V35=0,$S$14,VLOOKUP(V35,Lookups!$D$4:$J$8,'Planning Phase'!U35+2))</f>
        <v>Select L  &amp; C</v>
      </c>
      <c r="L35" s="4"/>
      <c r="M35" s="5"/>
      <c r="N35" s="5"/>
      <c r="P35" s="13">
        <f>IF(D35=Lookups!$B$4,1,IF(D35=Lookups!$B$5,2,IF(D35=Lookups!$B$6,3,IF(D35=Lookups!$B$7,4,IF(D35=Lookups!$B$8,5,0)))))</f>
        <v>0</v>
      </c>
      <c r="Q35" s="13">
        <f>IF(E35=Lookups!$C$4,1,IF(E35=Lookups!$C$5,2,IF(E35=Lookups!$C$6,3,IF(E35=Lookups!$C$7,4,IF(E35=Lookups!$C$8,5,0)))))</f>
        <v>0</v>
      </c>
      <c r="U35" s="13">
        <f>IF(I35=Lookups!$B$4,1,IF(I35=Lookups!$B$5,2,IF(I35=Lookups!$B$6,3,IF(I35=Lookups!$B$7,4,IF(I35=Lookups!$B$8,5,0)))))</f>
        <v>0</v>
      </c>
      <c r="V35" s="13">
        <f>IF(J35=Lookups!$C$4,1,IF(J35=Lookups!$C$5,2,IF(J35=Lookups!$C$6,3,IF(J35=Lookups!$C$7,4,IF(J35=Lookups!$C$8,5,0)))))</f>
        <v>0</v>
      </c>
    </row>
    <row r="36" spans="2:22" ht="29" x14ac:dyDescent="0.35">
      <c r="B36" s="29" t="s">
        <v>82</v>
      </c>
      <c r="C36" s="8" t="s">
        <v>88</v>
      </c>
      <c r="D36" s="4"/>
      <c r="E36" s="4"/>
      <c r="F36" s="4" t="str">
        <f>IF(P36*Q36=0,$S$14,VLOOKUP(Q36,Lookups!$D$4:$J$8,'Planning Phase'!P36+2))</f>
        <v>Select L  &amp; C</v>
      </c>
      <c r="G36" s="5"/>
      <c r="H36" s="5"/>
      <c r="I36" s="4"/>
      <c r="J36" s="4"/>
      <c r="K36" s="4" t="str">
        <f>IF(U36*V36=0,$S$14,VLOOKUP(V36,Lookups!$D$4:$J$8,'Planning Phase'!U36+2))</f>
        <v>Select L  &amp; C</v>
      </c>
      <c r="L36" s="4"/>
      <c r="M36" s="5"/>
      <c r="N36" s="5"/>
      <c r="P36" s="13">
        <f>IF(D36=Lookups!$B$4,1,IF(D36=Lookups!$B$5,2,IF(D36=Lookups!$B$6,3,IF(D36=Lookups!$B$7,4,IF(D36=Lookups!$B$8,5,0)))))</f>
        <v>0</v>
      </c>
      <c r="Q36" s="13">
        <f>IF(E36=Lookups!$C$4,1,IF(E36=Lookups!$C$5,2,IF(E36=Lookups!$C$6,3,IF(E36=Lookups!$C$7,4,IF(E36=Lookups!$C$8,5,0)))))</f>
        <v>0</v>
      </c>
      <c r="U36" s="13">
        <f>IF(I36=Lookups!$B$4,1,IF(I36=Lookups!$B$5,2,IF(I36=Lookups!$B$6,3,IF(I36=Lookups!$B$7,4,IF(I36=Lookups!$B$8,5,0)))))</f>
        <v>0</v>
      </c>
      <c r="V36" s="13">
        <f>IF(J36=Lookups!$C$4,1,IF(J36=Lookups!$C$5,2,IF(J36=Lookups!$C$6,3,IF(J36=Lookups!$C$7,4,IF(J36=Lookups!$C$8,5,0)))))</f>
        <v>0</v>
      </c>
    </row>
    <row r="37" spans="2:22" ht="72.5" x14ac:dyDescent="0.35">
      <c r="B37" s="30"/>
      <c r="C37" s="8" t="s">
        <v>89</v>
      </c>
      <c r="D37" s="4"/>
      <c r="E37" s="4"/>
      <c r="F37" s="4" t="str">
        <f>IF(P37*Q37=0,$S$14,VLOOKUP(Q37,Lookups!$D$4:$J$8,'Planning Phase'!P37+2))</f>
        <v>Select L  &amp; C</v>
      </c>
      <c r="G37" s="5"/>
      <c r="H37" s="5"/>
      <c r="I37" s="4"/>
      <c r="J37" s="4"/>
      <c r="K37" s="4" t="str">
        <f>IF(U37*V37=0,$S$14,VLOOKUP(V37,Lookups!$D$4:$J$8,'Planning Phase'!U37+2))</f>
        <v>Select L  &amp; C</v>
      </c>
      <c r="L37" s="18"/>
      <c r="M37" s="5"/>
      <c r="N37" s="5"/>
      <c r="P37" s="13">
        <f>IF(D37=Lookups!$B$4,1,IF(D37=Lookups!$B$5,2,IF(D37=Lookups!$B$6,3,IF(D37=Lookups!$B$7,4,IF(D37=Lookups!$B$8,5,0)))))</f>
        <v>0</v>
      </c>
      <c r="Q37" s="13">
        <f>IF(E37=Lookups!$C$4,1,IF(E37=Lookups!$C$5,2,IF(E37=Lookups!$C$6,3,IF(E37=Lookups!$C$7,4,IF(E37=Lookups!$C$8,5,0)))))</f>
        <v>0</v>
      </c>
      <c r="U37" s="13">
        <f>IF(I37=Lookups!$B$4,1,IF(I37=Lookups!$B$5,2,IF(I37=Lookups!$B$6,3,IF(I37=Lookups!$B$7,4,IF(I37=Lookups!$B$8,5,0)))))</f>
        <v>0</v>
      </c>
      <c r="V37" s="13">
        <f>IF(J37=Lookups!$C$4,1,IF(J37=Lookups!$C$5,2,IF(J37=Lookups!$C$6,3,IF(J37=Lookups!$C$7,4,IF(J37=Lookups!$C$8,5,0)))))</f>
        <v>0</v>
      </c>
    </row>
    <row r="38" spans="2:22" x14ac:dyDescent="0.35">
      <c r="B38" s="27" t="s">
        <v>36</v>
      </c>
      <c r="C38" s="35"/>
      <c r="D38" s="35"/>
      <c r="E38" s="35"/>
      <c r="F38" s="35"/>
      <c r="G38" s="35"/>
      <c r="H38" s="35"/>
      <c r="I38" s="35"/>
      <c r="J38" s="35"/>
      <c r="K38" s="35"/>
      <c r="L38" s="35"/>
      <c r="M38" s="35"/>
      <c r="N38" s="28"/>
      <c r="P38" s="13">
        <f>IF(D38=Lookups!$B$4,1,IF(D38=Lookups!$B$5,2,IF(D38=Lookups!$B$6,3,IF(D38=Lookups!$B$7,4,IF(D38=Lookups!$B$8,5,0)))))</f>
        <v>0</v>
      </c>
      <c r="Q38" s="13">
        <f>IF(E38=Lookups!$C$4,1,IF(E38=Lookups!$C$5,2,IF(E38=Lookups!$C$6,3,IF(E38=Lookups!$C$7,4,IF(E38=Lookups!$C$8,5,0)))))</f>
        <v>0</v>
      </c>
      <c r="U38" s="13">
        <f>IF(I38=Lookups!$B$4,1,IF(I38=Lookups!$B$5,2,IF(I38=Lookups!$B$6,3,IF(I38=Lookups!$B$7,4,IF(I38=Lookups!$B$8,5,0)))))</f>
        <v>0</v>
      </c>
      <c r="V38" s="13">
        <f>IF(J38=Lookups!$C$4,1,IF(J38=Lookups!$C$5,2,IF(J38=Lookups!$C$6,3,IF(J38=Lookups!$C$7,4,IF(J38=Lookups!$C$8,5,0)))))</f>
        <v>0</v>
      </c>
    </row>
    <row r="39" spans="2:22" ht="94.4" customHeight="1" x14ac:dyDescent="0.35">
      <c r="B39" s="17" t="s">
        <v>98</v>
      </c>
      <c r="C39" s="8" t="s">
        <v>99</v>
      </c>
      <c r="D39" s="4"/>
      <c r="E39" s="4"/>
      <c r="F39" s="4" t="str">
        <f>IF(P39*Q39=0,$S$14,VLOOKUP(Q39,Lookups!$D$4:$J$8,'Planning Phase'!P39+2))</f>
        <v>Select L  &amp; C</v>
      </c>
      <c r="G39" s="5"/>
      <c r="H39" s="5"/>
      <c r="I39" s="4"/>
      <c r="J39" s="4"/>
      <c r="K39" s="4" t="str">
        <f>IF(U39*V39=0,$S$14,VLOOKUP(V39,Lookups!$D$4:$J$8,'Planning Phase'!U39+2))</f>
        <v>Select L  &amp; C</v>
      </c>
      <c r="L39" s="4"/>
      <c r="M39" s="5"/>
      <c r="N39" s="5"/>
      <c r="P39" s="13">
        <f>IF(D39=Lookups!$B$4,1,IF(D39=Lookups!$B$5,2,IF(D39=Lookups!$B$6,3,IF(D39=Lookups!$B$7,4,IF(D39=Lookups!$B$8,5,0)))))</f>
        <v>0</v>
      </c>
      <c r="Q39" s="13">
        <f>IF(E39=Lookups!$C$4,1,IF(E39=Lookups!$C$5,2,IF(E39=Lookups!$C$6,3,IF(E39=Lookups!$C$7,4,IF(E39=Lookups!$C$8,5,0)))))</f>
        <v>0</v>
      </c>
      <c r="U39" s="13">
        <f>IF(I39=Lookups!$B$4,1,IF(I39=Lookups!$B$5,2,IF(I39=Lookups!$B$6,3,IF(I39=Lookups!$B$7,4,IF(I39=Lookups!$B$8,5,0)))))</f>
        <v>0</v>
      </c>
      <c r="V39" s="13">
        <f>IF(J39=Lookups!$C$4,1,IF(J39=Lookups!$C$5,2,IF(J39=Lookups!$C$6,3,IF(J39=Lookups!$C$7,4,IF(J39=Lookups!$C$8,5,0)))))</f>
        <v>0</v>
      </c>
    </row>
    <row r="40" spans="2:22" ht="58" x14ac:dyDescent="0.35">
      <c r="B40" s="17" t="s">
        <v>246</v>
      </c>
      <c r="C40" s="8" t="s">
        <v>99</v>
      </c>
      <c r="D40" s="4"/>
      <c r="E40" s="4"/>
      <c r="F40" s="4" t="str">
        <f>IF(P40*Q40=0,$S$14,VLOOKUP(Q40,Lookups!$D$4:$J$8,'Planning Phase'!P40+2))</f>
        <v>Select L  &amp; C</v>
      </c>
      <c r="G40" s="5"/>
      <c r="H40" s="5"/>
      <c r="I40" s="4"/>
      <c r="J40" s="4"/>
      <c r="K40" s="4" t="str">
        <f>IF(U40*V40=0,$S$14,VLOOKUP(V40,Lookups!$D$4:$J$8,'Planning Phase'!U40+2))</f>
        <v>Select L  &amp; C</v>
      </c>
      <c r="L40" s="4"/>
      <c r="M40" s="5"/>
      <c r="N40" s="5"/>
      <c r="P40" s="13">
        <f>IF(D40=Lookups!$B$4,1,IF(D40=Lookups!$B$5,2,IF(D40=Lookups!$B$6,3,IF(D40=Lookups!$B$7,4,IF(D40=Lookups!$B$8,5,0)))))</f>
        <v>0</v>
      </c>
      <c r="Q40" s="13">
        <f>IF(E40=Lookups!$C$4,1,IF(E40=Lookups!$C$5,2,IF(E40=Lookups!$C$6,3,IF(E40=Lookups!$C$7,4,IF(E40=Lookups!$C$8,5,0)))))</f>
        <v>0</v>
      </c>
      <c r="U40" s="13">
        <f>IF(I40=Lookups!$B$4,1,IF(I40=Lookups!$B$5,2,IF(I40=Lookups!$B$6,3,IF(I40=Lookups!$B$7,4,IF(I40=Lookups!$B$8,5,0)))))</f>
        <v>0</v>
      </c>
      <c r="V40" s="13">
        <f>IF(J40=Lookups!$C$4,1,IF(J40=Lookups!$C$5,2,IF(J40=Lookups!$C$6,3,IF(J40=Lookups!$C$7,4,IF(J40=Lookups!$C$8,5,0)))))</f>
        <v>0</v>
      </c>
    </row>
    <row r="41" spans="2:22" x14ac:dyDescent="0.35">
      <c r="B41" s="27" t="s">
        <v>94</v>
      </c>
      <c r="C41" s="35"/>
      <c r="D41" s="35"/>
      <c r="E41" s="35"/>
      <c r="F41" s="35"/>
      <c r="G41" s="35"/>
      <c r="H41" s="35"/>
      <c r="I41" s="35"/>
      <c r="J41" s="35"/>
      <c r="K41" s="35"/>
      <c r="L41" s="35"/>
      <c r="M41" s="35"/>
      <c r="N41" s="28"/>
      <c r="P41" s="13">
        <f>IF(D41=Lookups!$B$4,1,IF(D41=Lookups!$B$5,2,IF(D41=Lookups!$B$6,3,IF(D41=Lookups!$B$7,4,IF(D41=Lookups!$B$8,5,0)))))</f>
        <v>0</v>
      </c>
      <c r="Q41" s="13">
        <f>IF(E41=Lookups!$C$4,1,IF(E41=Lookups!$C$5,2,IF(E41=Lookups!$C$6,3,IF(E41=Lookups!$C$7,4,IF(E41=Lookups!$C$8,5,0)))))</f>
        <v>0</v>
      </c>
      <c r="U41" s="13">
        <f>IF(I41=Lookups!$B$4,1,IF(I41=Lookups!$B$5,2,IF(I41=Lookups!$B$6,3,IF(I41=Lookups!$B$7,4,IF(I41=Lookups!$B$8,5,0)))))</f>
        <v>0</v>
      </c>
      <c r="V41" s="13">
        <f>IF(J41=Lookups!$C$4,1,IF(J41=Lookups!$C$5,2,IF(J41=Lookups!$C$6,3,IF(J41=Lookups!$C$7,4,IF(J41=Lookups!$C$8,5,0)))))</f>
        <v>0</v>
      </c>
    </row>
    <row r="42" spans="2:22" ht="48.5" customHeight="1" x14ac:dyDescent="0.35">
      <c r="B42" s="17" t="s">
        <v>92</v>
      </c>
      <c r="C42" s="8" t="s">
        <v>90</v>
      </c>
      <c r="D42" s="4"/>
      <c r="E42" s="4"/>
      <c r="F42" s="4" t="str">
        <f>IF(P42*Q42=0,$S$14,VLOOKUP(Q42,Lookups!$D$4:$J$8,'Planning Phase'!P42+2))</f>
        <v>Select L  &amp; C</v>
      </c>
      <c r="G42" s="5"/>
      <c r="H42" s="5"/>
      <c r="I42" s="4"/>
      <c r="J42" s="4"/>
      <c r="K42" s="4" t="str">
        <f>IF(U42*V42=0,$S$14,VLOOKUP(V42,Lookups!$D$4:$J$8,'Planning Phase'!U42+2))</f>
        <v>Select L  &amp; C</v>
      </c>
      <c r="L42" s="4"/>
      <c r="M42" s="5"/>
      <c r="N42" s="5"/>
      <c r="P42" s="13">
        <f>IF(D42=Lookups!$B$4,1,IF(D42=Lookups!$B$5,2,IF(D42=Lookups!$B$6,3,IF(D42=Lookups!$B$7,4,IF(D42=Lookups!$B$8,5,0)))))</f>
        <v>0</v>
      </c>
      <c r="Q42" s="13">
        <f>IF(E42=Lookups!$C$4,1,IF(E42=Lookups!$C$5,2,IF(E42=Lookups!$C$6,3,IF(E42=Lookups!$C$7,4,IF(E42=Lookups!$C$8,5,0)))))</f>
        <v>0</v>
      </c>
      <c r="U42" s="13">
        <f>IF(I42=Lookups!$B$4,1,IF(I42=Lookups!$B$5,2,IF(I42=Lookups!$B$6,3,IF(I42=Lookups!$B$7,4,IF(I42=Lookups!$B$8,5,0)))))</f>
        <v>0</v>
      </c>
      <c r="V42" s="13">
        <f>IF(J42=Lookups!$C$4,1,IF(J42=Lookups!$C$5,2,IF(J42=Lookups!$C$6,3,IF(J42=Lookups!$C$7,4,IF(J42=Lookups!$C$8,5,0)))))</f>
        <v>0</v>
      </c>
    </row>
    <row r="43" spans="2:22" ht="72.5" x14ac:dyDescent="0.35">
      <c r="B43" s="8" t="s">
        <v>93</v>
      </c>
      <c r="C43" s="8" t="s">
        <v>95</v>
      </c>
      <c r="D43" s="4"/>
      <c r="E43" s="4"/>
      <c r="F43" s="4" t="str">
        <f>IF(P43*Q43=0,$S$14,VLOOKUP(Q43,Lookups!$D$4:$J$8,'Planning Phase'!P43+2))</f>
        <v>Select L  &amp; C</v>
      </c>
      <c r="G43" s="5"/>
      <c r="H43" s="5"/>
      <c r="I43" s="4"/>
      <c r="J43" s="4"/>
      <c r="K43" s="4" t="str">
        <f>IF(U43*V43=0,$S$14,VLOOKUP(V43,Lookups!$D$4:$J$8,'Planning Phase'!U43+2))</f>
        <v>Select L  &amp; C</v>
      </c>
      <c r="L43" s="4"/>
      <c r="M43" s="5"/>
      <c r="N43" s="5"/>
      <c r="P43" s="13">
        <f>IF(D43=Lookups!$B$4,1,IF(D43=Lookups!$B$5,2,IF(D43=Lookups!$B$6,3,IF(D43=Lookups!$B$7,4,IF(D43=Lookups!$B$8,5,0)))))</f>
        <v>0</v>
      </c>
      <c r="Q43" s="13">
        <f>IF(E43=Lookups!$C$4,1,IF(E43=Lookups!$C$5,2,IF(E43=Lookups!$C$6,3,IF(E43=Lookups!$C$7,4,IF(E43=Lookups!$C$8,5,0)))))</f>
        <v>0</v>
      </c>
      <c r="U43" s="13">
        <f>IF(I43=Lookups!$B$4,1,IF(I43=Lookups!$B$5,2,IF(I43=Lookups!$B$6,3,IF(I43=Lookups!$B$7,4,IF(I43=Lookups!$B$8,5,0)))))</f>
        <v>0</v>
      </c>
      <c r="V43" s="13">
        <f>IF(J43=Lookups!$C$4,1,IF(J43=Lookups!$C$5,2,IF(J43=Lookups!$C$6,3,IF(J43=Lookups!$C$7,4,IF(J43=Lookups!$C$8,5,0)))))</f>
        <v>0</v>
      </c>
    </row>
    <row r="44" spans="2:22" ht="43.5" x14ac:dyDescent="0.35">
      <c r="B44" s="16" t="s">
        <v>97</v>
      </c>
      <c r="C44" s="8" t="s">
        <v>96</v>
      </c>
      <c r="D44" s="4"/>
      <c r="E44" s="4"/>
      <c r="F44" s="4" t="str">
        <f>IF(P44*Q44=0,$S$14,VLOOKUP(Q44,Lookups!$D$4:$J$8,'Planning Phase'!P44+2))</f>
        <v>Select L  &amp; C</v>
      </c>
      <c r="G44" s="5"/>
      <c r="H44" s="5"/>
      <c r="I44" s="4"/>
      <c r="J44" s="4"/>
      <c r="K44" s="4" t="str">
        <f>IF(U44*V44=0,$S$14,VLOOKUP(V44,Lookups!$D$4:$J$8,'Planning Phase'!U44+2))</f>
        <v>Select L  &amp; C</v>
      </c>
      <c r="L44" s="4"/>
      <c r="M44" s="5"/>
      <c r="N44" s="5"/>
      <c r="P44" s="13">
        <f>IF(D44=Lookups!$B$4,1,IF(D44=Lookups!$B$5,2,IF(D44=Lookups!$B$6,3,IF(D44=Lookups!$B$7,4,IF(D44=Lookups!$B$8,5,0)))))</f>
        <v>0</v>
      </c>
      <c r="Q44" s="13">
        <f>IF(E44=Lookups!$C$4,1,IF(E44=Lookups!$C$5,2,IF(E44=Lookups!$C$6,3,IF(E44=Lookups!$C$7,4,IF(E44=Lookups!$C$8,5,0)))))</f>
        <v>0</v>
      </c>
      <c r="U44" s="13">
        <f>IF(I44=Lookups!$B$4,1,IF(I44=Lookups!$B$5,2,IF(I44=Lookups!$B$6,3,IF(I44=Lookups!$B$7,4,IF(I44=Lookups!$B$8,5,0)))))</f>
        <v>0</v>
      </c>
      <c r="V44" s="13">
        <f>IF(J44=Lookups!$C$4,1,IF(J44=Lookups!$C$5,2,IF(J44=Lookups!$C$6,3,IF(J44=Lookups!$C$7,4,IF(J44=Lookups!$C$8,5,0)))))</f>
        <v>0</v>
      </c>
    </row>
    <row r="45" spans="2:22" s="1" customFormat="1" ht="14.5" customHeight="1" x14ac:dyDescent="0.35">
      <c r="B45" s="27" t="s">
        <v>37</v>
      </c>
      <c r="C45" s="35"/>
      <c r="D45" s="35"/>
      <c r="E45" s="35"/>
      <c r="F45" s="35"/>
      <c r="G45" s="35"/>
      <c r="H45" s="35"/>
      <c r="I45" s="35"/>
      <c r="J45" s="35"/>
      <c r="K45" s="35"/>
      <c r="L45" s="35"/>
      <c r="M45" s="35"/>
      <c r="N45" s="28"/>
      <c r="P45" s="13">
        <f>IF(D45=Lookups!$B$4,1,IF(D45=Lookups!$B$5,2,IF(D45=Lookups!$B$6,3,IF(D45=Lookups!$B$7,4,IF(D45=Lookups!$B$8,5,0)))))</f>
        <v>0</v>
      </c>
      <c r="Q45" s="13">
        <f>IF(E45=Lookups!$C$4,1,IF(E45=Lookups!$C$5,2,IF(E45=Lookups!$C$6,3,IF(E45=Lookups!$C$7,4,IF(E45=Lookups!$C$8,5,0)))))</f>
        <v>0</v>
      </c>
      <c r="U45" s="13">
        <f>IF(I45=Lookups!$B$4,1,IF(I45=Lookups!$B$5,2,IF(I45=Lookups!$B$6,3,IF(I45=Lookups!$B$7,4,IF(I45=Lookups!$B$8,5,0)))))</f>
        <v>0</v>
      </c>
      <c r="V45" s="13">
        <f>IF(J45=Lookups!$C$4,1,IF(J45=Lookups!$C$5,2,IF(J45=Lookups!$C$6,3,IF(J45=Lookups!$C$7,4,IF(J45=Lookups!$C$8,5,0)))))</f>
        <v>0</v>
      </c>
    </row>
    <row r="46" spans="2:22" ht="58" x14ac:dyDescent="0.35">
      <c r="B46" s="17" t="s">
        <v>79</v>
      </c>
      <c r="C46" s="8" t="s">
        <v>83</v>
      </c>
      <c r="D46" s="4"/>
      <c r="E46" s="4"/>
      <c r="F46" s="4" t="str">
        <f>IF(P46*Q46=0,$S$14,VLOOKUP(Q46,Lookups!$D$4:$J$8,'Planning Phase'!P46+2))</f>
        <v>Select L  &amp; C</v>
      </c>
      <c r="G46" s="5"/>
      <c r="H46" s="5"/>
      <c r="I46" s="4"/>
      <c r="J46" s="4"/>
      <c r="K46" s="4" t="str">
        <f>IF(U46*V46=0,$S$14,VLOOKUP(V46,Lookups!$D$4:$J$8,'Planning Phase'!U46+2))</f>
        <v>Select L  &amp; C</v>
      </c>
      <c r="L46" s="4"/>
      <c r="M46" s="5"/>
      <c r="N46" s="5"/>
      <c r="P46" s="13">
        <f>IF(D46=Lookups!$B$4,1,IF(D46=Lookups!$B$5,2,IF(D46=Lookups!$B$6,3,IF(D46=Lookups!$B$7,4,IF(D46=Lookups!$B$8,5,0)))))</f>
        <v>0</v>
      </c>
      <c r="Q46" s="13">
        <f>IF(E46=Lookups!$C$4,1,IF(E46=Lookups!$C$5,2,IF(E46=Lookups!$C$6,3,IF(E46=Lookups!$C$7,4,IF(E46=Lookups!$C$8,5,0)))))</f>
        <v>0</v>
      </c>
      <c r="U46" s="13">
        <f>IF(I46=Lookups!$B$4,1,IF(I46=Lookups!$B$5,2,IF(I46=Lookups!$B$6,3,IF(I46=Lookups!$B$7,4,IF(I46=Lookups!$B$8,5,0)))))</f>
        <v>0</v>
      </c>
      <c r="V46" s="13">
        <f>IF(J46=Lookups!$C$4,1,IF(J46=Lookups!$C$5,2,IF(J46=Lookups!$C$6,3,IF(J46=Lookups!$C$7,4,IF(J46=Lookups!$C$8,5,0)))))</f>
        <v>0</v>
      </c>
    </row>
    <row r="47" spans="2:22" ht="43.5" x14ac:dyDescent="0.35">
      <c r="B47" s="8" t="s">
        <v>20</v>
      </c>
      <c r="C47" s="8" t="s">
        <v>84</v>
      </c>
      <c r="D47" s="4"/>
      <c r="E47" s="4"/>
      <c r="F47" s="4" t="str">
        <f>IF(P47*Q47=0,$S$14,VLOOKUP(Q47,Lookups!$D$4:$J$8,'Planning Phase'!P47+2))</f>
        <v>Select L  &amp; C</v>
      </c>
      <c r="G47" s="5"/>
      <c r="H47" s="5"/>
      <c r="I47" s="4"/>
      <c r="J47" s="4"/>
      <c r="K47" s="4" t="str">
        <f>IF(U47*V47=0,$S$14,VLOOKUP(V47,Lookups!$D$4:$J$8,'Planning Phase'!U47+2))</f>
        <v>Select L  &amp; C</v>
      </c>
      <c r="L47" s="4"/>
      <c r="M47" s="5"/>
      <c r="N47" s="5"/>
      <c r="P47" s="13">
        <f>IF(D47=Lookups!$B$4,1,IF(D47=Lookups!$B$5,2,IF(D47=Lookups!$B$6,3,IF(D47=Lookups!$B$7,4,IF(D47=Lookups!$B$8,5,0)))))</f>
        <v>0</v>
      </c>
      <c r="Q47" s="13">
        <f>IF(E47=Lookups!$C$4,1,IF(E47=Lookups!$C$5,2,IF(E47=Lookups!$C$6,3,IF(E47=Lookups!$C$7,4,IF(E47=Lookups!$C$8,5,0)))))</f>
        <v>0</v>
      </c>
      <c r="U47" s="13">
        <f>IF(I47=Lookups!$B$4,1,IF(I47=Lookups!$B$5,2,IF(I47=Lookups!$B$6,3,IF(I47=Lookups!$B$7,4,IF(I47=Lookups!$B$8,5,0)))))</f>
        <v>0</v>
      </c>
      <c r="V47" s="13">
        <f>IF(J47=Lookups!$C$4,1,IF(J47=Lookups!$C$5,2,IF(J47=Lookups!$C$6,3,IF(J47=Lookups!$C$7,4,IF(J47=Lookups!$C$8,5,0)))))</f>
        <v>0</v>
      </c>
    </row>
    <row r="48" spans="2:22" x14ac:dyDescent="0.35">
      <c r="B48" s="27" t="s">
        <v>26</v>
      </c>
      <c r="C48" s="28"/>
      <c r="D48" s="4"/>
      <c r="E48" s="4"/>
      <c r="F48" s="4" t="str">
        <f>IF(P48*Q48=0,$S$14,VLOOKUP(Q48,Lookups!$D$4:$J$8,'Planning Phase'!P48+2))</f>
        <v>Select L  &amp; C</v>
      </c>
      <c r="G48" s="5"/>
      <c r="H48" s="5"/>
      <c r="I48" s="4"/>
      <c r="J48" s="4"/>
      <c r="K48" s="4" t="str">
        <f>IF(U48*V48=0,$S$14,VLOOKUP(V48,Lookups!$D$4:$J$8,'Planning Phase'!U48+2))</f>
        <v>Select L  &amp; C</v>
      </c>
      <c r="L48" s="4"/>
      <c r="M48" s="5"/>
      <c r="N48" s="5"/>
      <c r="P48" s="13">
        <f>IF(D48=Lookups!$B$4,1,IF(D48=Lookups!$B$5,2,IF(D48=Lookups!$B$6,3,IF(D48=Lookups!$B$7,4,IF(D48=Lookups!$B$8,5,0)))))</f>
        <v>0</v>
      </c>
      <c r="Q48" s="13">
        <f>IF(E48=Lookups!$C$4,1,IF(E48=Lookups!$C$5,2,IF(E48=Lookups!$C$6,3,IF(E48=Lookups!$C$7,4,IF(E48=Lookups!$C$8,5,0)))))</f>
        <v>0</v>
      </c>
      <c r="U48" s="13">
        <f>IF(I48=Lookups!$B$4,1,IF(I48=Lookups!$B$5,2,IF(I48=Lookups!$B$6,3,IF(I48=Lookups!$B$7,4,IF(I48=Lookups!$B$8,5,0)))))</f>
        <v>0</v>
      </c>
      <c r="V48" s="13">
        <f>IF(J48=Lookups!$C$4,1,IF(J48=Lookups!$C$5,2,IF(J48=Lookups!$C$6,3,IF(J48=Lookups!$C$7,4,IF(J48=Lookups!$C$8,5,0)))))</f>
        <v>0</v>
      </c>
    </row>
    <row r="49" spans="2:22" x14ac:dyDescent="0.35">
      <c r="B49" s="29" t="s">
        <v>116</v>
      </c>
      <c r="C49" s="8" t="s">
        <v>117</v>
      </c>
      <c r="D49" s="4"/>
      <c r="E49" s="4"/>
      <c r="F49" s="4" t="str">
        <f>IF(P49*Q49=0,$S$14,VLOOKUP(Q49,Lookups!$D$4:$J$8,'Planning Phase'!P49+2))</f>
        <v>Select L  &amp; C</v>
      </c>
      <c r="G49" s="5"/>
      <c r="H49" s="5"/>
      <c r="I49" s="4"/>
      <c r="J49" s="4"/>
      <c r="K49" s="4" t="str">
        <f>IF(U49*V49=0,$S$14,VLOOKUP(V49,Lookups!$D$4:$J$8,'Planning Phase'!U49+2))</f>
        <v>Select L  &amp; C</v>
      </c>
      <c r="L49" s="4"/>
      <c r="M49" s="5"/>
      <c r="N49" s="5"/>
      <c r="P49" s="13">
        <f>IF(D49=Lookups!$B$4,1,IF(D49=Lookups!$B$5,2,IF(D49=Lookups!$B$6,3,IF(D49=Lookups!$B$7,4,IF(D49=Lookups!$B$8,5,0)))))</f>
        <v>0</v>
      </c>
      <c r="Q49" s="13">
        <f>IF(E49=Lookups!$C$4,1,IF(E49=Lookups!$C$5,2,IF(E49=Lookups!$C$6,3,IF(E49=Lookups!$C$7,4,IF(E49=Lookups!$C$8,5,0)))))</f>
        <v>0</v>
      </c>
      <c r="U49" s="13">
        <f>IF(I49=Lookups!$B$4,1,IF(I49=Lookups!$B$5,2,IF(I49=Lookups!$B$6,3,IF(I49=Lookups!$B$7,4,IF(I49=Lookups!$B$8,5,0)))))</f>
        <v>0</v>
      </c>
      <c r="V49" s="13">
        <f>IF(J49=Lookups!$C$4,1,IF(J49=Lookups!$C$5,2,IF(J49=Lookups!$C$6,3,IF(J49=Lookups!$C$7,4,IF(J49=Lookups!$C$8,5,0)))))</f>
        <v>0</v>
      </c>
    </row>
    <row r="50" spans="2:22" ht="43" customHeight="1" x14ac:dyDescent="0.35">
      <c r="B50" s="30"/>
      <c r="C50" s="8" t="s">
        <v>118</v>
      </c>
      <c r="D50" s="4"/>
      <c r="E50" s="4"/>
      <c r="F50" s="4" t="str">
        <f>IF(P50*Q50=0,$S$14,VLOOKUP(Q50,Lookups!$D$4:$J$8,'Planning Phase'!P50+2))</f>
        <v>Select L  &amp; C</v>
      </c>
      <c r="G50" s="5"/>
      <c r="H50" s="5"/>
      <c r="I50" s="4"/>
      <c r="J50" s="4"/>
      <c r="K50" s="4" t="str">
        <f>IF(U50*V50=0,$S$14,VLOOKUP(V50,Lookups!$D$4:$J$8,'Planning Phase'!U50+2))</f>
        <v>Select L  &amp; C</v>
      </c>
      <c r="L50" s="4"/>
      <c r="M50" s="5"/>
      <c r="N50" s="5"/>
      <c r="P50" s="13">
        <f>IF(D50=Lookups!$B$4,1,IF(D50=Lookups!$B$5,2,IF(D50=Lookups!$B$6,3,IF(D50=Lookups!$B$7,4,IF(D50=Lookups!$B$8,5,0)))))</f>
        <v>0</v>
      </c>
      <c r="Q50" s="13">
        <f>IF(E50=Lookups!$C$4,1,IF(E50=Lookups!$C$5,2,IF(E50=Lookups!$C$6,3,IF(E50=Lookups!$C$7,4,IF(E50=Lookups!$C$8,5,0)))))</f>
        <v>0</v>
      </c>
      <c r="U50" s="13">
        <f>IF(I50=Lookups!$B$4,1,IF(I50=Lookups!$B$5,2,IF(I50=Lookups!$B$6,3,IF(I50=Lookups!$B$7,4,IF(I50=Lookups!$B$8,5,0)))))</f>
        <v>0</v>
      </c>
      <c r="V50" s="13">
        <f>IF(J50=Lookups!$C$4,1,IF(J50=Lookups!$C$5,2,IF(J50=Lookups!$C$6,3,IF(J50=Lookups!$C$7,4,IF(J50=Lookups!$C$8,5,0)))))</f>
        <v>0</v>
      </c>
    </row>
    <row r="51" spans="2:22" x14ac:dyDescent="0.35">
      <c r="B51" s="27" t="s">
        <v>108</v>
      </c>
      <c r="C51" s="35"/>
      <c r="D51" s="35"/>
      <c r="E51" s="35"/>
      <c r="F51" s="35"/>
      <c r="G51" s="35"/>
      <c r="H51" s="35"/>
      <c r="I51" s="35"/>
      <c r="J51" s="35"/>
      <c r="K51" s="35"/>
      <c r="L51" s="35"/>
      <c r="M51" s="35"/>
      <c r="N51" s="28"/>
      <c r="P51" s="13">
        <f>IF(D51=Lookups!$B$4,1,IF(D51=Lookups!$B$5,2,IF(D51=Lookups!$B$6,3,IF(D51=Lookups!$B$7,4,IF(D51=Lookups!$B$8,5,0)))))</f>
        <v>0</v>
      </c>
      <c r="Q51" s="13">
        <f>IF(E51=Lookups!$C$4,1,IF(E51=Lookups!$C$5,2,IF(E51=Lookups!$C$6,3,IF(E51=Lookups!$C$7,4,IF(E51=Lookups!$C$8,5,0)))))</f>
        <v>0</v>
      </c>
      <c r="U51" s="13">
        <f>IF(I51=Lookups!$B$4,1,IF(I51=Lookups!$B$5,2,IF(I51=Lookups!$B$6,3,IF(I51=Lookups!$B$7,4,IF(I51=Lookups!$B$8,5,0)))))</f>
        <v>0</v>
      </c>
      <c r="V51" s="13">
        <f>IF(J51=Lookups!$C$4,1,IF(J51=Lookups!$C$5,2,IF(J51=Lookups!$C$6,3,IF(J51=Lookups!$C$7,4,IF(J51=Lookups!$C$8,5,0)))))</f>
        <v>0</v>
      </c>
    </row>
    <row r="52" spans="2:22" ht="29" x14ac:dyDescent="0.35">
      <c r="B52" s="29" t="s">
        <v>71</v>
      </c>
      <c r="C52" s="8" t="s">
        <v>119</v>
      </c>
      <c r="D52" s="4"/>
      <c r="E52" s="4"/>
      <c r="F52" s="4" t="str">
        <f>IF(P52*Q52=0,$S$14,VLOOKUP(Q52,Lookups!$D$4:$J$8,'Planning Phase'!P52+2))</f>
        <v>Select L  &amp; C</v>
      </c>
      <c r="G52" s="5"/>
      <c r="H52" s="5"/>
      <c r="I52" s="4"/>
      <c r="J52" s="4"/>
      <c r="K52" s="4" t="str">
        <f>IF(U52*V52=0,$S$14,VLOOKUP(V52,Lookups!$D$4:$J$8,'Planning Phase'!U52+2))</f>
        <v>Select L  &amp; C</v>
      </c>
      <c r="L52" s="4"/>
      <c r="M52" s="5"/>
      <c r="N52" s="5"/>
      <c r="P52" s="13">
        <f>IF(D52=Lookups!$B$4,1,IF(D52=Lookups!$B$5,2,IF(D52=Lookups!$B$6,3,IF(D52=Lookups!$B$7,4,IF(D52=Lookups!$B$8,5,0)))))</f>
        <v>0</v>
      </c>
      <c r="Q52" s="13">
        <f>IF(E52=Lookups!$C$4,1,IF(E52=Lookups!$C$5,2,IF(E52=Lookups!$C$6,3,IF(E52=Lookups!$C$7,4,IF(E52=Lookups!$C$8,5,0)))))</f>
        <v>0</v>
      </c>
      <c r="U52" s="13">
        <f>IF(I52=Lookups!$B$4,1,IF(I52=Lookups!$B$5,2,IF(I52=Lookups!$B$6,3,IF(I52=Lookups!$B$7,4,IF(I52=Lookups!$B$8,5,0)))))</f>
        <v>0</v>
      </c>
      <c r="V52" s="13">
        <f>IF(J52=Lookups!$C$4,1,IF(J52=Lookups!$C$5,2,IF(J52=Lookups!$C$6,3,IF(J52=Lookups!$C$7,4,IF(J52=Lookups!$C$8,5,0)))))</f>
        <v>0</v>
      </c>
    </row>
    <row r="53" spans="2:22" ht="29" x14ac:dyDescent="0.35">
      <c r="B53" s="31"/>
      <c r="C53" s="8" t="s">
        <v>135</v>
      </c>
      <c r="D53" s="4"/>
      <c r="E53" s="4"/>
      <c r="F53" s="4"/>
      <c r="G53" s="5"/>
      <c r="H53" s="5"/>
      <c r="I53" s="4"/>
      <c r="J53" s="4"/>
      <c r="K53" s="4"/>
      <c r="L53" s="4"/>
      <c r="M53" s="5"/>
      <c r="N53" s="5"/>
    </row>
    <row r="54" spans="2:22" ht="29" x14ac:dyDescent="0.35">
      <c r="B54" s="30"/>
      <c r="C54" s="8" t="s">
        <v>72</v>
      </c>
      <c r="D54" s="4"/>
      <c r="E54" s="4"/>
      <c r="F54" s="4" t="str">
        <f>IF(P54*Q54=0,$S$14,VLOOKUP(Q54,Lookups!$D$4:$J$8,'Planning Phase'!P54+2))</f>
        <v>Select L  &amp; C</v>
      </c>
      <c r="G54" s="5"/>
      <c r="H54" s="5"/>
      <c r="I54" s="4"/>
      <c r="J54" s="4"/>
      <c r="K54" s="4" t="str">
        <f>IF(U54*V54=0,$S$14,VLOOKUP(V54,Lookups!$D$4:$J$8,'Planning Phase'!U54+2))</f>
        <v>Select L  &amp; C</v>
      </c>
      <c r="L54" s="4"/>
      <c r="M54" s="5"/>
      <c r="N54" s="5"/>
      <c r="P54" s="13">
        <f>IF(D54=Lookups!$B$4,1,IF(D54=Lookups!$B$5,2,IF(D54=Lookups!$B$6,3,IF(D54=Lookups!$B$7,4,IF(D54=Lookups!$B$8,5,0)))))</f>
        <v>0</v>
      </c>
      <c r="Q54" s="13">
        <f>IF(E54=Lookups!$C$4,1,IF(E54=Lookups!$C$5,2,IF(E54=Lookups!$C$6,3,IF(E54=Lookups!$C$7,4,IF(E54=Lookups!$C$8,5,0)))))</f>
        <v>0</v>
      </c>
      <c r="U54" s="13">
        <f>IF(I54=Lookups!$B$4,1,IF(I54=Lookups!$B$5,2,IF(I54=Lookups!$B$6,3,IF(I54=Lookups!$B$7,4,IF(I54=Lookups!$B$8,5,0)))))</f>
        <v>0</v>
      </c>
      <c r="V54" s="13">
        <f>IF(J54=Lookups!$C$4,1,IF(J54=Lookups!$C$5,2,IF(J54=Lookups!$C$6,3,IF(J54=Lookups!$C$7,4,IF(J54=Lookups!$C$8,5,0)))))</f>
        <v>0</v>
      </c>
    </row>
    <row r="55" spans="2:22" x14ac:dyDescent="0.35">
      <c r="B55" s="27" t="s">
        <v>29</v>
      </c>
      <c r="C55" s="35"/>
      <c r="D55" s="35"/>
      <c r="E55" s="35"/>
      <c r="F55" s="35"/>
      <c r="G55" s="35"/>
      <c r="H55" s="35"/>
      <c r="I55" s="35"/>
      <c r="J55" s="35"/>
      <c r="K55" s="35"/>
      <c r="L55" s="35"/>
      <c r="M55" s="35"/>
      <c r="N55" s="28"/>
      <c r="P55" s="13">
        <f>IF(D55=Lookups!$B$4,1,IF(D55=Lookups!$B$5,2,IF(D55=Lookups!$B$6,3,IF(D55=Lookups!$B$7,4,IF(D55=Lookups!$B$8,5,0)))))</f>
        <v>0</v>
      </c>
      <c r="Q55" s="13">
        <f>IF(E55=Lookups!$C$4,1,IF(E55=Lookups!$C$5,2,IF(E55=Lookups!$C$6,3,IF(E55=Lookups!$C$7,4,IF(E55=Lookups!$C$8,5,0)))))</f>
        <v>0</v>
      </c>
      <c r="U55" s="13">
        <f>IF(I55=Lookups!$B$4,1,IF(I55=Lookups!$B$5,2,IF(I55=Lookups!$B$6,3,IF(I55=Lookups!$B$7,4,IF(I55=Lookups!$B$8,5,0)))))</f>
        <v>0</v>
      </c>
      <c r="V55" s="13">
        <f>IF(J55=Lookups!$C$4,1,IF(J55=Lookups!$C$5,2,IF(J55=Lookups!$C$6,3,IF(J55=Lookups!$C$7,4,IF(J55=Lookups!$C$8,5,0)))))</f>
        <v>0</v>
      </c>
    </row>
    <row r="56" spans="2:22" ht="72.5" x14ac:dyDescent="0.35">
      <c r="B56" s="8" t="s">
        <v>109</v>
      </c>
      <c r="C56" s="8" t="s">
        <v>110</v>
      </c>
      <c r="D56" s="4"/>
      <c r="E56" s="4"/>
      <c r="F56" s="4" t="str">
        <f>IF(P56*Q56=0,$S$14,VLOOKUP(Q56,Lookups!$D$4:$J$8,'Planning Phase'!P56+2))</f>
        <v>Select L  &amp; C</v>
      </c>
      <c r="G56" s="5"/>
      <c r="H56" s="5"/>
      <c r="I56" s="4"/>
      <c r="J56" s="4"/>
      <c r="K56" s="4" t="str">
        <f>IF(U56*V56=0,$S$14,VLOOKUP(V56,Lookups!$D$4:$J$8,'Planning Phase'!U56+2))</f>
        <v>Select L  &amp; C</v>
      </c>
      <c r="L56" s="4"/>
      <c r="M56" s="5"/>
      <c r="N56" s="5"/>
      <c r="P56" s="13">
        <f>IF(D56=Lookups!$B$4,1,IF(D56=Lookups!$B$5,2,IF(D56=Lookups!$B$6,3,IF(D56=Lookups!$B$7,4,IF(D56=Lookups!$B$8,5,0)))))</f>
        <v>0</v>
      </c>
      <c r="Q56" s="13">
        <f>IF(E56=Lookups!$C$4,1,IF(E56=Lookups!$C$5,2,IF(E56=Lookups!$C$6,3,IF(E56=Lookups!$C$7,4,IF(E56=Lookups!$C$8,5,0)))))</f>
        <v>0</v>
      </c>
      <c r="U56" s="13">
        <f>IF(I56=Lookups!$B$4,1,IF(I56=Lookups!$B$5,2,IF(I56=Lookups!$B$6,3,IF(I56=Lookups!$B$7,4,IF(I56=Lookups!$B$8,5,0)))))</f>
        <v>0</v>
      </c>
      <c r="V56" s="13">
        <f>IF(J56=Lookups!$C$4,1,IF(J56=Lookups!$C$5,2,IF(J56=Lookups!$C$6,3,IF(J56=Lookups!$C$7,4,IF(J56=Lookups!$C$8,5,0)))))</f>
        <v>0</v>
      </c>
    </row>
    <row r="57" spans="2:22" ht="43.5" x14ac:dyDescent="0.35">
      <c r="B57" s="8" t="s">
        <v>138</v>
      </c>
      <c r="C57" s="8" t="s">
        <v>139</v>
      </c>
      <c r="D57" s="4"/>
      <c r="E57" s="4"/>
      <c r="F57" s="4" t="str">
        <f>IF(P57*Q57=0,$S$14,VLOOKUP(Q57,Lookups!$D$4:$J$8,'Planning Phase'!P57+2))</f>
        <v>Select L  &amp; C</v>
      </c>
      <c r="G57" s="5"/>
      <c r="H57" s="5"/>
      <c r="I57" s="4"/>
      <c r="J57" s="4"/>
      <c r="K57" s="4" t="str">
        <f>IF(U57*V57=0,$S$14,VLOOKUP(V57,Lookups!$D$4:$J$8,'Planning Phase'!U57+2))</f>
        <v>Select L  &amp; C</v>
      </c>
      <c r="L57" s="4"/>
      <c r="M57" s="5"/>
      <c r="N57" s="5"/>
    </row>
    <row r="58" spans="2:22" ht="43.5" x14ac:dyDescent="0.35">
      <c r="B58" s="8" t="s">
        <v>142</v>
      </c>
      <c r="C58" s="8" t="s">
        <v>143</v>
      </c>
      <c r="D58" s="4"/>
      <c r="E58" s="4"/>
      <c r="F58" s="4" t="str">
        <f>IF(P58*Q58=0,$S$14,VLOOKUP(Q58,Lookups!$D$4:$J$8,'Planning Phase'!P58+2))</f>
        <v>Select L  &amp; C</v>
      </c>
      <c r="G58" s="5"/>
      <c r="H58" s="5"/>
      <c r="I58" s="4"/>
      <c r="J58" s="4"/>
      <c r="K58" s="4" t="str">
        <f>IF(U58*V58=0,$S$14,VLOOKUP(V58,Lookups!$D$4:$J$8,'Planning Phase'!U58+2))</f>
        <v>Select L  &amp; C</v>
      </c>
      <c r="L58" s="4"/>
      <c r="M58" s="5"/>
      <c r="N58" s="5"/>
    </row>
    <row r="59" spans="2:22" x14ac:dyDescent="0.35">
      <c r="B59" s="27" t="s">
        <v>129</v>
      </c>
      <c r="C59" s="35"/>
      <c r="D59" s="35"/>
      <c r="E59" s="35"/>
      <c r="F59" s="35"/>
      <c r="G59" s="35"/>
      <c r="H59" s="35"/>
      <c r="I59" s="35"/>
      <c r="J59" s="35"/>
      <c r="K59" s="35"/>
      <c r="L59" s="35"/>
      <c r="M59" s="35"/>
      <c r="N59" s="28"/>
      <c r="P59" s="13">
        <f>IF(D59=Lookups!$B$4,1,IF(D59=Lookups!$B$5,2,IF(D59=Lookups!$B$6,3,IF(D59=Lookups!$B$7,4,IF(D59=Lookups!$B$8,5,0)))))</f>
        <v>0</v>
      </c>
      <c r="Q59" s="13">
        <f>IF(E59=Lookups!$C$4,1,IF(E59=Lookups!$C$5,2,IF(E59=Lookups!$C$6,3,IF(E59=Lookups!$C$7,4,IF(E59=Lookups!$C$8,5,0)))))</f>
        <v>0</v>
      </c>
      <c r="U59" s="13">
        <f>IF(I59=Lookups!$B$4,1,IF(I59=Lookups!$B$5,2,IF(I59=Lookups!$B$6,3,IF(I59=Lookups!$B$7,4,IF(I59=Lookups!$B$8,5,0)))))</f>
        <v>0</v>
      </c>
      <c r="V59" s="13">
        <f>IF(J59=Lookups!$C$4,1,IF(J59=Lookups!$C$5,2,IF(J59=Lookups!$C$6,3,IF(J59=Lookups!$C$7,4,IF(J59=Lookups!$C$8,5,0)))))</f>
        <v>0</v>
      </c>
    </row>
    <row r="60" spans="2:22" ht="43.5" x14ac:dyDescent="0.35">
      <c r="B60" s="16" t="s">
        <v>112</v>
      </c>
      <c r="C60" s="8" t="s">
        <v>134</v>
      </c>
      <c r="D60" s="4"/>
      <c r="E60" s="4"/>
      <c r="F60" s="4" t="str">
        <f>IF(P60*Q60=0,$S$14,VLOOKUP(Q60,Lookups!$D$4:$J$8,'Planning Phase'!P60+2))</f>
        <v>Select L  &amp; C</v>
      </c>
      <c r="G60" s="5"/>
      <c r="H60" s="5"/>
      <c r="I60" s="4"/>
      <c r="J60" s="4"/>
      <c r="K60" s="4" t="str">
        <f>IF(U60*V60=0,$S$14,VLOOKUP(V60,Lookups!$D$4:$J$8,'Planning Phase'!U60+2))</f>
        <v>Select L  &amp; C</v>
      </c>
      <c r="L60" s="4"/>
      <c r="M60" s="5"/>
      <c r="N60" s="5"/>
      <c r="P60" s="13">
        <f>IF(D60=Lookups!$B$4,1,IF(D60=Lookups!$B$5,2,IF(D60=Lookups!$B$6,3,IF(D60=Lookups!$B$7,4,IF(D60=Lookups!$B$8,5,0)))))</f>
        <v>0</v>
      </c>
      <c r="Q60" s="13">
        <f>IF(E60=Lookups!$C$4,1,IF(E60=Lookups!$C$5,2,IF(E60=Lookups!$C$6,3,IF(E60=Lookups!$C$7,4,IF(E60=Lookups!$C$8,5,0)))))</f>
        <v>0</v>
      </c>
      <c r="U60" s="13">
        <f>IF(I60=Lookups!$B$4,1,IF(I60=Lookups!$B$5,2,IF(I60=Lookups!$B$6,3,IF(I60=Lookups!$B$7,4,IF(I60=Lookups!$B$8,5,0)))))</f>
        <v>0</v>
      </c>
      <c r="V60" s="13">
        <f>IF(J60=Lookups!$C$4,1,IF(J60=Lookups!$C$5,2,IF(J60=Lookups!$C$6,3,IF(J60=Lookups!$C$7,4,IF(J60=Lookups!$C$8,5,0)))))</f>
        <v>0</v>
      </c>
    </row>
    <row r="61" spans="2:22" ht="43.5" x14ac:dyDescent="0.35">
      <c r="B61" s="16" t="s">
        <v>132</v>
      </c>
      <c r="C61" s="8" t="s">
        <v>133</v>
      </c>
      <c r="D61" s="4"/>
      <c r="E61" s="4"/>
      <c r="F61" s="4" t="str">
        <f>IF(P61*Q61=0,$S$14,VLOOKUP(Q61,Lookups!$D$4:$J$8,'Planning Phase'!P61+2))</f>
        <v>Select L  &amp; C</v>
      </c>
      <c r="G61" s="5"/>
      <c r="H61" s="5"/>
      <c r="I61" s="4"/>
      <c r="J61" s="4"/>
      <c r="K61" s="4" t="str">
        <f>IF(U61*V61=0,$S$14,VLOOKUP(V61,Lookups!$D$4:$J$8,'Planning Phase'!U61+2))</f>
        <v>Select L  &amp; C</v>
      </c>
      <c r="L61" s="4"/>
      <c r="M61" s="5"/>
      <c r="N61" s="5"/>
    </row>
    <row r="62" spans="2:22" ht="72.5" x14ac:dyDescent="0.35">
      <c r="B62" s="8" t="s">
        <v>130</v>
      </c>
      <c r="C62" s="8" t="s">
        <v>131</v>
      </c>
      <c r="D62" s="4"/>
      <c r="E62" s="4"/>
      <c r="F62" s="4" t="str">
        <f>IF(P62*Q62=0,$S$14,VLOOKUP(Q62,Lookups!$D$4:$J$8,'Planning Phase'!P62+2))</f>
        <v>Select L  &amp; C</v>
      </c>
      <c r="G62" s="5"/>
      <c r="H62" s="5"/>
      <c r="I62" s="4"/>
      <c r="J62" s="4"/>
      <c r="K62" s="4" t="str">
        <f>IF(U62*V62=0,$S$14,VLOOKUP(V62,Lookups!$D$4:$J$8,'Planning Phase'!U62+2))</f>
        <v>Select L  &amp; C</v>
      </c>
      <c r="L62" s="4"/>
      <c r="M62" s="5"/>
      <c r="N62" s="5"/>
    </row>
    <row r="63" spans="2:22" ht="58" x14ac:dyDescent="0.35">
      <c r="B63" s="3" t="s">
        <v>126</v>
      </c>
      <c r="C63" s="8" t="s">
        <v>127</v>
      </c>
      <c r="D63" s="4"/>
      <c r="E63" s="4"/>
      <c r="F63" s="4" t="str">
        <f>IF(P63*Q63=0,$S$14,VLOOKUP(Q63,Lookups!$D$4:$J$8,'Planning Phase'!P63+2))</f>
        <v>Select L  &amp; C</v>
      </c>
      <c r="G63" s="5"/>
      <c r="H63" s="5"/>
      <c r="I63" s="4"/>
      <c r="J63" s="4"/>
      <c r="K63" s="4" t="str">
        <f>IF(U63*V63=0,$S$14,VLOOKUP(V63,Lookups!$D$4:$J$8,'Planning Phase'!U63+2))</f>
        <v>Select L  &amp; C</v>
      </c>
      <c r="L63" s="4"/>
      <c r="M63" s="5"/>
      <c r="N63" s="5"/>
    </row>
    <row r="64" spans="2:22" ht="43.5" x14ac:dyDescent="0.35">
      <c r="B64" s="3" t="s">
        <v>32</v>
      </c>
      <c r="C64" s="12" t="s">
        <v>128</v>
      </c>
      <c r="D64" s="4"/>
      <c r="E64" s="4"/>
      <c r="F64" s="4" t="str">
        <f>IF(P64*Q64=0,$S$14,VLOOKUP(Q64,Lookups!$D$4:$J$8,'Planning Phase'!P64+2))</f>
        <v>Select L  &amp; C</v>
      </c>
      <c r="G64" s="5"/>
      <c r="H64" s="5"/>
      <c r="I64" s="4"/>
      <c r="J64" s="4"/>
      <c r="K64" s="4" t="str">
        <f>IF(U64*V64=0,$S$14,VLOOKUP(V64,Lookups!$D$4:$J$8,'Planning Phase'!U64+2))</f>
        <v>Select L  &amp; C</v>
      </c>
      <c r="L64" s="4"/>
      <c r="M64" s="5"/>
      <c r="N64" s="5"/>
    </row>
    <row r="65" spans="2:22" x14ac:dyDescent="0.35">
      <c r="B65" s="29" t="s">
        <v>33</v>
      </c>
      <c r="C65" s="8" t="s">
        <v>34</v>
      </c>
      <c r="D65" s="4"/>
      <c r="E65" s="4"/>
      <c r="F65" s="4" t="str">
        <f>IF(P65*Q65=0,$S$14,VLOOKUP(Q65,Lookups!$D$4:$J$8,'Planning Phase'!P65+2))</f>
        <v>Select L  &amp; C</v>
      </c>
      <c r="G65" s="5"/>
      <c r="H65" s="5"/>
      <c r="I65" s="4"/>
      <c r="J65" s="4"/>
      <c r="K65" s="4" t="str">
        <f>IF(U65*V65=0,$S$14,VLOOKUP(V65,Lookups!$D$4:$J$8,'Planning Phase'!U65+2))</f>
        <v>Select L  &amp; C</v>
      </c>
      <c r="L65" s="4"/>
      <c r="M65" s="5"/>
      <c r="N65" s="5"/>
    </row>
    <row r="66" spans="2:22" x14ac:dyDescent="0.35">
      <c r="B66" s="30"/>
      <c r="C66" s="8" t="s">
        <v>35</v>
      </c>
      <c r="D66" s="4"/>
      <c r="E66" s="4"/>
      <c r="F66" s="4" t="str">
        <f>IF(P66*Q66=0,$S$14,VLOOKUP(Q66,Lookups!$D$4:$J$8,'Planning Phase'!P66+2))</f>
        <v>Select L  &amp; C</v>
      </c>
      <c r="G66" s="5"/>
      <c r="H66" s="5"/>
      <c r="I66" s="4"/>
      <c r="J66" s="4"/>
      <c r="K66" s="4" t="str">
        <f>IF(U66*V66=0,$S$14,VLOOKUP(V66,Lookups!$D$4:$J$8,'Planning Phase'!U66+2))</f>
        <v>Select L  &amp; C</v>
      </c>
      <c r="L66" s="4"/>
      <c r="M66" s="5"/>
      <c r="N66" s="5"/>
    </row>
    <row r="67" spans="2:22" ht="43.5" x14ac:dyDescent="0.35">
      <c r="B67" s="16" t="s">
        <v>136</v>
      </c>
      <c r="C67" s="8" t="s">
        <v>137</v>
      </c>
      <c r="D67" s="4"/>
      <c r="E67" s="4"/>
      <c r="F67" s="4" t="str">
        <f>IF(P67*Q67=0,$S$14,VLOOKUP(Q67,Lookups!$D$4:$J$8,'Planning Phase'!P67+2))</f>
        <v>Select L  &amp; C</v>
      </c>
      <c r="G67" s="5"/>
      <c r="H67" s="5"/>
      <c r="I67" s="4"/>
      <c r="J67" s="4"/>
      <c r="K67" s="4" t="str">
        <f>IF(U67*V67=0,$S$14,VLOOKUP(V67,Lookups!$D$4:$J$8,'Planning Phase'!U67+2))</f>
        <v>Select L  &amp; C</v>
      </c>
      <c r="L67" s="4"/>
      <c r="M67" s="5"/>
      <c r="N67" s="5"/>
    </row>
    <row r="68" spans="2:22" ht="29" x14ac:dyDescent="0.35">
      <c r="B68" s="16" t="s">
        <v>140</v>
      </c>
      <c r="C68" s="8" t="s">
        <v>141</v>
      </c>
      <c r="D68" s="4"/>
      <c r="E68" s="4"/>
      <c r="F68" s="4" t="str">
        <f>IF(P68*Q68=0,$S$14,VLOOKUP(Q68,Lookups!$D$4:$J$8,'Planning Phase'!P68+2))</f>
        <v>Select L  &amp; C</v>
      </c>
      <c r="G68" s="5"/>
      <c r="H68" s="5"/>
      <c r="I68" s="4"/>
      <c r="J68" s="4"/>
      <c r="K68" s="4" t="str">
        <f>IF(U68*V68=0,$S$14,VLOOKUP(V68,Lookups!$D$4:$J$8,'Planning Phase'!U68+2))</f>
        <v>Select L  &amp; C</v>
      </c>
      <c r="L68" s="4"/>
      <c r="M68" s="5"/>
      <c r="N68" s="5"/>
    </row>
    <row r="69" spans="2:22" ht="72.5" x14ac:dyDescent="0.35">
      <c r="B69" s="16" t="s">
        <v>114</v>
      </c>
      <c r="C69" s="8" t="s">
        <v>115</v>
      </c>
      <c r="D69" s="4"/>
      <c r="E69" s="4"/>
      <c r="F69" s="4" t="str">
        <f>IF(P69*Q69=0,$S$14,VLOOKUP(Q69,Lookups!$D$4:$J$8,'Planning Phase'!P69+2))</f>
        <v>Select L  &amp; C</v>
      </c>
      <c r="G69" s="5"/>
      <c r="H69" s="5"/>
      <c r="I69" s="4"/>
      <c r="J69" s="4"/>
      <c r="K69" s="4" t="str">
        <f>IF(U69*V69=0,$S$14,VLOOKUP(V69,Lookups!$D$4:$J$8,'Planning Phase'!U69+2))</f>
        <v>Select L  &amp; C</v>
      </c>
      <c r="L69" s="4"/>
      <c r="M69" s="5"/>
      <c r="N69" s="5"/>
      <c r="P69" s="13">
        <f>IF(D69=Lookups!$B$4,1,IF(D69=Lookups!$B$5,2,IF(D69=Lookups!$B$6,3,IF(D69=Lookups!$B$7,4,IF(D69=Lookups!$B$8,5,0)))))</f>
        <v>0</v>
      </c>
      <c r="Q69" s="13">
        <f>IF(E69=Lookups!$C$4,1,IF(E69=Lookups!$C$5,2,IF(E69=Lookups!$C$6,3,IF(E69=Lookups!$C$7,4,IF(E69=Lookups!$C$8,5,0)))))</f>
        <v>0</v>
      </c>
      <c r="U69" s="13">
        <f>IF(I69=Lookups!$B$4,1,IF(I69=Lookups!$B$5,2,IF(I69=Lookups!$B$6,3,IF(I69=Lookups!$B$7,4,IF(I69=Lookups!$B$8,5,0)))))</f>
        <v>0</v>
      </c>
      <c r="V69" s="13">
        <f>IF(J69=Lookups!$C$4,1,IF(J69=Lookups!$C$5,2,IF(J69=Lookups!$C$6,3,IF(J69=Lookups!$C$7,4,IF(J69=Lookups!$C$8,5,0)))))</f>
        <v>0</v>
      </c>
    </row>
    <row r="70" spans="2:22" x14ac:dyDescent="0.35">
      <c r="B70" s="27" t="s">
        <v>120</v>
      </c>
      <c r="C70" s="35"/>
      <c r="D70" s="35"/>
      <c r="E70" s="35"/>
      <c r="F70" s="35"/>
      <c r="G70" s="35"/>
      <c r="H70" s="35"/>
      <c r="I70" s="35"/>
      <c r="J70" s="35"/>
      <c r="K70" s="35"/>
      <c r="L70" s="35"/>
      <c r="M70" s="35"/>
      <c r="N70" s="28"/>
      <c r="P70" s="13">
        <f>IF(D70=Lookups!$B$4,1,IF(D70=Lookups!$B$5,2,IF(D70=Lookups!$B$6,3,IF(D70=Lookups!$B$7,4,IF(D70=Lookups!$B$8,5,0)))))</f>
        <v>0</v>
      </c>
      <c r="Q70" s="13">
        <f>IF(E70=Lookups!$C$4,1,IF(E70=Lookups!$C$5,2,IF(E70=Lookups!$C$6,3,IF(E70=Lookups!$C$7,4,IF(E70=Lookups!$C$8,5,0)))))</f>
        <v>0</v>
      </c>
      <c r="U70" s="13">
        <f>IF(I70=Lookups!$B$4,1,IF(I70=Lookups!$B$5,2,IF(I70=Lookups!$B$6,3,IF(I70=Lookups!$B$7,4,IF(I70=Lookups!$B$8,5,0)))))</f>
        <v>0</v>
      </c>
      <c r="V70" s="13">
        <f>IF(J70=Lookups!$C$4,1,IF(J70=Lookups!$C$5,2,IF(J70=Lookups!$C$6,3,IF(J70=Lookups!$C$7,4,IF(J70=Lookups!$C$8,5,0)))))</f>
        <v>0</v>
      </c>
    </row>
    <row r="71" spans="2:22" ht="114" customHeight="1" x14ac:dyDescent="0.35">
      <c r="B71" s="16" t="s">
        <v>121</v>
      </c>
      <c r="C71" s="8" t="s">
        <v>122</v>
      </c>
      <c r="D71" s="4"/>
      <c r="E71" s="4"/>
      <c r="F71" s="4" t="str">
        <f>IF(P71*Q71=0,$S$14,VLOOKUP(Q71,Lookups!$D$4:$J$8,'Planning Phase'!P71+2))</f>
        <v>Select L  &amp; C</v>
      </c>
      <c r="G71" s="5"/>
      <c r="H71" s="5"/>
      <c r="I71" s="4"/>
      <c r="J71" s="4"/>
      <c r="K71" s="4" t="str">
        <f>IF(U71*V71=0,$S$14,VLOOKUP(V71,Lookups!$D$4:$J$8,'Planning Phase'!U71+2))</f>
        <v>Select L  &amp; C</v>
      </c>
      <c r="L71" s="4"/>
      <c r="M71" s="5"/>
      <c r="N71" s="5"/>
      <c r="P71" s="13">
        <f>IF(D71=Lookups!$B$4,1,IF(D71=Lookups!$B$5,2,IF(D71=Lookups!$B$6,3,IF(D71=Lookups!$B$7,4,IF(D71=Lookups!$B$8,5,0)))))</f>
        <v>0</v>
      </c>
      <c r="Q71" s="13">
        <f>IF(E71=Lookups!$C$4,1,IF(E71=Lookups!$C$5,2,IF(E71=Lookups!$C$6,3,IF(E71=Lookups!$C$7,4,IF(E71=Lookups!$C$8,5,0)))))</f>
        <v>0</v>
      </c>
      <c r="U71" s="13">
        <f>IF(I71=Lookups!$B$4,1,IF(I71=Lookups!$B$5,2,IF(I71=Lookups!$B$6,3,IF(I71=Lookups!$B$7,4,IF(I71=Lookups!$B$8,5,0)))))</f>
        <v>0</v>
      </c>
      <c r="V71" s="13">
        <f>IF(J71=Lookups!$C$4,1,IF(J71=Lookups!$C$5,2,IF(J71=Lookups!$C$6,3,IF(J71=Lookups!$C$7,4,IF(J71=Lookups!$C$8,5,0)))))</f>
        <v>0</v>
      </c>
    </row>
    <row r="72" spans="2:22" x14ac:dyDescent="0.35">
      <c r="B72" s="27" t="s">
        <v>123</v>
      </c>
      <c r="C72" s="35"/>
      <c r="D72" s="35"/>
      <c r="E72" s="35"/>
      <c r="F72" s="35"/>
      <c r="G72" s="35"/>
      <c r="H72" s="35"/>
      <c r="I72" s="35"/>
      <c r="J72" s="35"/>
      <c r="K72" s="35"/>
      <c r="L72" s="35"/>
      <c r="M72" s="35"/>
      <c r="N72" s="28"/>
      <c r="P72" s="13">
        <f>IF(D72=Lookups!$B$4,1,IF(D72=Lookups!$B$5,2,IF(D72=Lookups!$B$6,3,IF(D72=Lookups!$B$7,4,IF(D72=Lookups!$B$8,5,0)))))</f>
        <v>0</v>
      </c>
      <c r="Q72" s="13">
        <f>IF(E72=Lookups!$C$4,1,IF(E72=Lookups!$C$5,2,IF(E72=Lookups!$C$6,3,IF(E72=Lookups!$C$7,4,IF(E72=Lookups!$C$8,5,0)))))</f>
        <v>0</v>
      </c>
      <c r="U72" s="13">
        <f>IF(I72=Lookups!$B$4,1,IF(I72=Lookups!$B$5,2,IF(I72=Lookups!$B$6,3,IF(I72=Lookups!$B$7,4,IF(I72=Lookups!$B$8,5,0)))))</f>
        <v>0</v>
      </c>
      <c r="V72" s="13">
        <f>IF(J72=Lookups!$C$4,1,IF(J72=Lookups!$C$5,2,IF(J72=Lookups!$C$6,3,IF(J72=Lookups!$C$7,4,IF(J72=Lookups!$C$8,5,0)))))</f>
        <v>0</v>
      </c>
    </row>
    <row r="73" spans="2:22" ht="72.5" x14ac:dyDescent="0.35">
      <c r="B73" s="16" t="s">
        <v>124</v>
      </c>
      <c r="C73" s="8" t="s">
        <v>125</v>
      </c>
      <c r="D73" s="4"/>
      <c r="E73" s="4"/>
      <c r="F73" s="4" t="str">
        <f>IF(P73*Q73=0,$S$14,VLOOKUP(Q73,Lookups!$D$4:$J$8,'Planning Phase'!P73+2))</f>
        <v>Select L  &amp; C</v>
      </c>
      <c r="G73" s="5"/>
      <c r="H73" s="5"/>
      <c r="I73" s="4"/>
      <c r="J73" s="4"/>
      <c r="K73" s="4" t="str">
        <f>IF(U73*V73=0,$S$14,VLOOKUP(V73,Lookups!$D$4:$J$8,'Planning Phase'!U73+2))</f>
        <v>Select L  &amp; C</v>
      </c>
      <c r="L73" s="4"/>
      <c r="M73" s="5"/>
      <c r="N73" s="5"/>
      <c r="P73" s="13">
        <f>IF(D73=Lookups!$B$4,1,IF(D73=Lookups!$B$5,2,IF(D73=Lookups!$B$6,3,IF(D73=Lookups!$B$7,4,IF(D73=Lookups!$B$8,5,0)))))</f>
        <v>0</v>
      </c>
      <c r="Q73" s="13">
        <f>IF(E73=Lookups!$C$4,1,IF(E73=Lookups!$C$5,2,IF(E73=Lookups!$C$6,3,IF(E73=Lookups!$C$7,4,IF(E73=Lookups!$C$8,5,0)))))</f>
        <v>0</v>
      </c>
      <c r="U73" s="13">
        <f>IF(I73=Lookups!$B$4,1,IF(I73=Lookups!$B$5,2,IF(I73=Lookups!$B$6,3,IF(I73=Lookups!$B$7,4,IF(I73=Lookups!$B$8,5,0)))))</f>
        <v>0</v>
      </c>
      <c r="V73" s="13">
        <f>IF(J73=Lookups!$C$4,1,IF(J73=Lookups!$C$5,2,IF(J73=Lookups!$C$6,3,IF(J73=Lookups!$C$7,4,IF(J73=Lookups!$C$8,5,0)))))</f>
        <v>0</v>
      </c>
    </row>
    <row r="74" spans="2:22" x14ac:dyDescent="0.35">
      <c r="B74" s="27" t="s">
        <v>144</v>
      </c>
      <c r="C74" s="35"/>
      <c r="D74" s="35"/>
      <c r="E74" s="35"/>
      <c r="F74" s="35"/>
      <c r="G74" s="35"/>
      <c r="H74" s="35"/>
      <c r="I74" s="35"/>
      <c r="J74" s="35"/>
      <c r="K74" s="35"/>
      <c r="L74" s="35"/>
      <c r="M74" s="35"/>
      <c r="N74" s="28"/>
      <c r="P74" s="13">
        <f>IF(D74=Lookups!$B$4,1,IF(D74=Lookups!$B$5,2,IF(D74=Lookups!$B$6,3,IF(D74=Lookups!$B$7,4,IF(D74=Lookups!$B$8,5,0)))))</f>
        <v>0</v>
      </c>
      <c r="Q74" s="13">
        <f>IF(E74=Lookups!$C$4,1,IF(E74=Lookups!$C$5,2,IF(E74=Lookups!$C$6,3,IF(E74=Lookups!$C$7,4,IF(E74=Lookups!$C$8,5,0)))))</f>
        <v>0</v>
      </c>
      <c r="U74" s="13">
        <f>IF(I74=Lookups!$B$4,1,IF(I74=Lookups!$B$5,2,IF(I74=Lookups!$B$6,3,IF(I74=Lookups!$B$7,4,IF(I74=Lookups!$B$8,5,0)))))</f>
        <v>0</v>
      </c>
      <c r="V74" s="13">
        <f>IF(J74=Lookups!$C$4,1,IF(J74=Lookups!$C$5,2,IF(J74=Lookups!$C$6,3,IF(J74=Lookups!$C$7,4,IF(J74=Lookups!$C$8,5,0)))))</f>
        <v>0</v>
      </c>
    </row>
    <row r="75" spans="2:22" ht="58" x14ac:dyDescent="0.35">
      <c r="B75" s="8" t="s">
        <v>145</v>
      </c>
      <c r="C75" s="8" t="s">
        <v>170</v>
      </c>
      <c r="D75" s="4"/>
      <c r="E75" s="4"/>
      <c r="F75" s="4" t="str">
        <f>IF(P75*Q75=0,$S$14,VLOOKUP(Q75,Lookups!$D$4:$J$8,'Planning Phase'!P75+2))</f>
        <v>Select L  &amp; C</v>
      </c>
      <c r="G75" s="5"/>
      <c r="H75" s="5"/>
      <c r="I75" s="4"/>
      <c r="J75" s="4"/>
      <c r="K75" s="4" t="str">
        <f>IF(U75*V75=0,$S$14,VLOOKUP(V75,Lookups!$D$4:$J$8,'Planning Phase'!U75+2))</f>
        <v>Select L  &amp; C</v>
      </c>
      <c r="L75" s="4"/>
      <c r="M75" s="5"/>
      <c r="N75" s="5"/>
    </row>
  </sheetData>
  <mergeCells count="30">
    <mergeCell ref="M7:N7"/>
    <mergeCell ref="B74:N74"/>
    <mergeCell ref="B52:B54"/>
    <mergeCell ref="B51:N51"/>
    <mergeCell ref="B55:N55"/>
    <mergeCell ref="B59:N59"/>
    <mergeCell ref="B41:N41"/>
    <mergeCell ref="B45:N45"/>
    <mergeCell ref="B49:B50"/>
    <mergeCell ref="B70:N70"/>
    <mergeCell ref="B72:N72"/>
    <mergeCell ref="B65:B66"/>
    <mergeCell ref="B7:C7"/>
    <mergeCell ref="D7:F7"/>
    <mergeCell ref="G7:H7"/>
    <mergeCell ref="D2:F2"/>
    <mergeCell ref="B48:C48"/>
    <mergeCell ref="B34:B35"/>
    <mergeCell ref="B36:B37"/>
    <mergeCell ref="B27:B28"/>
    <mergeCell ref="B30:B33"/>
    <mergeCell ref="B10:B16"/>
    <mergeCell ref="B17:B18"/>
    <mergeCell ref="B24:B26"/>
    <mergeCell ref="B9:N9"/>
    <mergeCell ref="B21:B22"/>
    <mergeCell ref="B38:N38"/>
    <mergeCell ref="B23:N23"/>
    <mergeCell ref="I7:K7"/>
    <mergeCell ref="L7:L8"/>
  </mergeCells>
  <conditionalFormatting sqref="F10:F22 F42:F44 F46:F50 F52:F54 K52:K54 F56 K56 F60:F69 K60:K69">
    <cfRule type="cellIs" dxfId="275" priority="152" operator="equal">
      <formula>$S$12</formula>
    </cfRule>
    <cfRule type="cellIs" dxfId="274" priority="153" operator="equal">
      <formula>$S$11</formula>
    </cfRule>
    <cfRule type="cellIs" dxfId="273" priority="154" operator="equal">
      <formula>$S$10</formula>
    </cfRule>
    <cfRule type="cellIs" dxfId="272" priority="155" operator="equal">
      <formula>$S$9</formula>
    </cfRule>
    <cfRule type="cellIs" dxfId="271" priority="157" operator="equal">
      <formula>$S$14</formula>
    </cfRule>
  </conditionalFormatting>
  <conditionalFormatting sqref="F24:F37">
    <cfRule type="cellIs" dxfId="270" priority="19" operator="equal">
      <formula>$S$13</formula>
    </cfRule>
    <cfRule type="cellIs" dxfId="269" priority="20" operator="equal">
      <formula>$S$12</formula>
    </cfRule>
    <cfRule type="cellIs" dxfId="268" priority="24" operator="equal">
      <formula>$S$14</formula>
    </cfRule>
    <cfRule type="cellIs" dxfId="267" priority="23" operator="equal">
      <formula>$S$9</formula>
    </cfRule>
    <cfRule type="cellIs" dxfId="266" priority="22" operator="equal">
      <formula>$S$10</formula>
    </cfRule>
    <cfRule type="cellIs" dxfId="265" priority="21" operator="equal">
      <formula>$S$11</formula>
    </cfRule>
  </conditionalFormatting>
  <conditionalFormatting sqref="F39:F40">
    <cfRule type="cellIs" dxfId="264" priority="7" operator="equal">
      <formula>$S$13</formula>
    </cfRule>
    <cfRule type="cellIs" dxfId="263" priority="8" operator="equal">
      <formula>$S$12</formula>
    </cfRule>
    <cfRule type="cellIs" dxfId="262" priority="9" operator="equal">
      <formula>$S$11</formula>
    </cfRule>
    <cfRule type="cellIs" dxfId="261" priority="10" operator="equal">
      <formula>$S$10</formula>
    </cfRule>
    <cfRule type="cellIs" dxfId="260" priority="11" operator="equal">
      <formula>$S$9</formula>
    </cfRule>
    <cfRule type="cellIs" dxfId="259" priority="12" operator="equal">
      <formula>$S$14</formula>
    </cfRule>
  </conditionalFormatting>
  <conditionalFormatting sqref="F56 K56 F10:F22 F42:F44 F46:F50 F52:F54 K52:K54 F60:F69 K60:K69">
    <cfRule type="cellIs" dxfId="258" priority="151" operator="equal">
      <formula>$S$13</formula>
    </cfRule>
  </conditionalFormatting>
  <conditionalFormatting sqref="F56:F57 K56:K57">
    <cfRule type="cellIs" dxfId="257" priority="65" operator="equal">
      <formula>$S$9</formula>
    </cfRule>
    <cfRule type="cellIs" dxfId="256" priority="63" operator="equal">
      <formula>$S$11</formula>
    </cfRule>
    <cfRule type="cellIs" dxfId="255" priority="62" operator="equal">
      <formula>$S$12</formula>
    </cfRule>
    <cfRule type="cellIs" dxfId="254" priority="61" operator="equal">
      <formula>$S$13</formula>
    </cfRule>
    <cfRule type="cellIs" dxfId="253" priority="64" operator="equal">
      <formula>$S$10</formula>
    </cfRule>
    <cfRule type="cellIs" dxfId="252" priority="66" operator="equal">
      <formula>$S$14</formula>
    </cfRule>
  </conditionalFormatting>
  <conditionalFormatting sqref="F57:F58 K57:K58">
    <cfRule type="cellIs" dxfId="251" priority="48" operator="equal">
      <formula>$S$14</formula>
    </cfRule>
    <cfRule type="cellIs" dxfId="250" priority="47" operator="equal">
      <formula>$S$9</formula>
    </cfRule>
    <cfRule type="cellIs" dxfId="249" priority="46" operator="equal">
      <formula>$S$10</formula>
    </cfRule>
    <cfRule type="cellIs" dxfId="248" priority="45" operator="equal">
      <formula>$S$11</formula>
    </cfRule>
    <cfRule type="cellIs" dxfId="247" priority="44" operator="equal">
      <formula>$S$12</formula>
    </cfRule>
    <cfRule type="cellIs" dxfId="246" priority="43" operator="equal">
      <formula>$S$13</formula>
    </cfRule>
  </conditionalFormatting>
  <conditionalFormatting sqref="F58">
    <cfRule type="cellIs" dxfId="245" priority="40" operator="equal">
      <formula>$S$10</formula>
    </cfRule>
    <cfRule type="cellIs" dxfId="244" priority="42" operator="equal">
      <formula>$S$14</formula>
    </cfRule>
    <cfRule type="cellIs" dxfId="243" priority="41" operator="equal">
      <formula>$S$9</formula>
    </cfRule>
    <cfRule type="cellIs" dxfId="242" priority="39" operator="equal">
      <formula>$S$11</formula>
    </cfRule>
    <cfRule type="cellIs" dxfId="241" priority="38" operator="equal">
      <formula>$S$12</formula>
    </cfRule>
    <cfRule type="cellIs" dxfId="240" priority="37" operator="equal">
      <formula>$S$13</formula>
    </cfRule>
  </conditionalFormatting>
  <conditionalFormatting sqref="F71 K71">
    <cfRule type="cellIs" dxfId="239" priority="75" operator="equal">
      <formula>$S$11</formula>
    </cfRule>
    <cfRule type="cellIs" dxfId="238" priority="76" operator="equal">
      <formula>$S$10</formula>
    </cfRule>
    <cfRule type="cellIs" dxfId="237" priority="77" operator="equal">
      <formula>$S$9</formula>
    </cfRule>
    <cfRule type="cellIs" dxfId="236" priority="78" operator="equal">
      <formula>$S$14</formula>
    </cfRule>
    <cfRule type="cellIs" dxfId="235" priority="73" operator="equal">
      <formula>$S$13</formula>
    </cfRule>
    <cfRule type="cellIs" dxfId="234" priority="74" operator="equal">
      <formula>$S$12</formula>
    </cfRule>
  </conditionalFormatting>
  <conditionalFormatting sqref="F73 K73">
    <cfRule type="cellIs" dxfId="233" priority="69" operator="equal">
      <formula>$S$11</formula>
    </cfRule>
    <cfRule type="cellIs" dxfId="232" priority="72" operator="equal">
      <formula>$S$14</formula>
    </cfRule>
    <cfRule type="cellIs" dxfId="231" priority="67" operator="equal">
      <formula>$S$13</formula>
    </cfRule>
    <cfRule type="cellIs" dxfId="230" priority="68" operator="equal">
      <formula>$S$12</formula>
    </cfRule>
    <cfRule type="cellIs" dxfId="229" priority="71" operator="equal">
      <formula>$S$9</formula>
    </cfRule>
    <cfRule type="cellIs" dxfId="228" priority="70" operator="equal">
      <formula>$S$10</formula>
    </cfRule>
  </conditionalFormatting>
  <conditionalFormatting sqref="F75 K75">
    <cfRule type="cellIs" dxfId="227" priority="28" operator="equal">
      <formula>$S$10</formula>
    </cfRule>
    <cfRule type="cellIs" dxfId="226" priority="25" operator="equal">
      <formula>$S$13</formula>
    </cfRule>
    <cfRule type="cellIs" dxfId="225" priority="30" operator="equal">
      <formula>$S$14</formula>
    </cfRule>
    <cfRule type="cellIs" dxfId="224" priority="29" operator="equal">
      <formula>$S$9</formula>
    </cfRule>
    <cfRule type="cellIs" dxfId="223" priority="26" operator="equal">
      <formula>$S$12</formula>
    </cfRule>
    <cfRule type="cellIs" dxfId="222" priority="27" operator="equal">
      <formula>$S$11</formula>
    </cfRule>
  </conditionalFormatting>
  <conditionalFormatting sqref="K10:K22 K42:K44 K46:K50">
    <cfRule type="cellIs" dxfId="221" priority="137" operator="equal">
      <formula>$S$9</formula>
    </cfRule>
    <cfRule type="cellIs" dxfId="220" priority="133" operator="equal">
      <formula>$S$13</formula>
    </cfRule>
    <cfRule type="cellIs" dxfId="219" priority="134" operator="equal">
      <formula>$S$12</formula>
    </cfRule>
    <cfRule type="cellIs" dxfId="218" priority="135" operator="equal">
      <formula>$S$11</formula>
    </cfRule>
    <cfRule type="cellIs" dxfId="217" priority="136" operator="equal">
      <formula>$S$10</formula>
    </cfRule>
    <cfRule type="cellIs" dxfId="216" priority="138" operator="equal">
      <formula>$S$14</formula>
    </cfRule>
  </conditionalFormatting>
  <conditionalFormatting sqref="K24:K37">
    <cfRule type="cellIs" dxfId="215" priority="14" operator="equal">
      <formula>$S$12</formula>
    </cfRule>
    <cfRule type="cellIs" dxfId="214" priority="16" operator="equal">
      <formula>$S$10</formula>
    </cfRule>
    <cfRule type="cellIs" dxfId="213" priority="17" operator="equal">
      <formula>$S$9</formula>
    </cfRule>
    <cfRule type="cellIs" dxfId="212" priority="18" operator="equal">
      <formula>$S$14</formula>
    </cfRule>
    <cfRule type="cellIs" dxfId="211" priority="13" operator="equal">
      <formula>$S$13</formula>
    </cfRule>
    <cfRule type="cellIs" dxfId="210" priority="15" operator="equal">
      <formula>$S$11</formula>
    </cfRule>
  </conditionalFormatting>
  <conditionalFormatting sqref="K39:K40">
    <cfRule type="cellIs" dxfId="209" priority="2" operator="equal">
      <formula>$S$12</formula>
    </cfRule>
    <cfRule type="cellIs" dxfId="208" priority="3" operator="equal">
      <formula>$S$11</formula>
    </cfRule>
    <cfRule type="cellIs" dxfId="207" priority="4" operator="equal">
      <formula>$S$10</formula>
    </cfRule>
    <cfRule type="cellIs" dxfId="206" priority="5" operator="equal">
      <formula>$S$9</formula>
    </cfRule>
    <cfRule type="cellIs" dxfId="205" priority="6" operator="equal">
      <formula>$S$14</formula>
    </cfRule>
    <cfRule type="cellIs" dxfId="204" priority="1" operator="equal">
      <formula>$S$13</formula>
    </cfRule>
  </conditionalFormatting>
  <conditionalFormatting sqref="K58">
    <cfRule type="cellIs" dxfId="203" priority="36" operator="equal">
      <formula>$S$14</formula>
    </cfRule>
    <cfRule type="cellIs" dxfId="202" priority="34" operator="equal">
      <formula>$S$10</formula>
    </cfRule>
    <cfRule type="cellIs" dxfId="201" priority="33" operator="equal">
      <formula>$S$11</formula>
    </cfRule>
    <cfRule type="cellIs" dxfId="200" priority="32" operator="equal">
      <formula>$S$12</formula>
    </cfRule>
    <cfRule type="cellIs" dxfId="199" priority="31" operator="equal">
      <formula>$S$13</formula>
    </cfRule>
    <cfRule type="cellIs" dxfId="198" priority="35" operator="equal">
      <formula>$S$9</formula>
    </cfRule>
  </conditionalFormatting>
  <pageMargins left="0.7" right="0.7" top="0.75" bottom="0.75" header="0.3" footer="0.3"/>
  <pageSetup paperSize="8" scale="95"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E7EA108-BDA2-4AAC-A16D-C59EFF94BCA5}">
          <x14:formula1>
            <xm:f>Lookups!$B$4:$B$8</xm:f>
          </x14:formula1>
          <xm:sqref>D42:D44 D75 I46:I50 I10:I22 I60:I69 D52:D54 I52:I54 D71 I71 D46:D50 I56:I58 D56:D58 I73 D73 D60:D69 D10:D22 I39:I40 I24:I37 I42:I44 I75 D24:D37 D39:D40</xm:sqref>
        </x14:dataValidation>
        <x14:dataValidation type="list" allowBlank="1" showInputMessage="1" showErrorMessage="1" xr:uid="{12851496-2D36-4D63-93B0-7B393415EE23}">
          <x14:formula1>
            <xm:f>Lookups!$C$4:$C$8</xm:f>
          </x14:formula1>
          <xm:sqref>E42:E44 E75 J46:J50 J10:J22 J60:J69 E52:E54 J52:J54 E71 J71 E46:E50 J56:J58 E56:E58 J73 E73 E60:E69 E10:E22 J39:J40 J24:J37 J42:J44 J75 E24:E37 E39:E40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92DB-E3BE-4835-8500-78385E91D934}">
  <sheetPr>
    <pageSetUpPr fitToPage="1"/>
  </sheetPr>
  <dimension ref="B2:V119"/>
  <sheetViews>
    <sheetView showGridLines="0" tabSelected="1" zoomScale="90" zoomScaleNormal="90" workbookViewId="0">
      <pane ySplit="2250" activePane="bottomLeft"/>
      <selection sqref="A1:A1048576"/>
      <selection pane="bottomLeft" activeCell="X69" sqref="X69"/>
    </sheetView>
  </sheetViews>
  <sheetFormatPr defaultRowHeight="14.5" x14ac:dyDescent="0.35"/>
  <cols>
    <col min="1" max="1" width="3.1796875" customWidth="1"/>
    <col min="2" max="2" width="22" style="9" bestFit="1" customWidth="1"/>
    <col min="3" max="3" width="54.7265625" style="9" bestFit="1" customWidth="1"/>
    <col min="4" max="6" width="11.81640625" customWidth="1"/>
    <col min="7" max="7" width="40" customWidth="1"/>
    <col min="8" max="8" width="28.1796875" customWidth="1"/>
    <col min="9" max="11" width="12.7265625" customWidth="1"/>
    <col min="14" max="14" width="33" customWidth="1"/>
    <col min="16" max="17" width="9" style="13" customWidth="1"/>
    <col min="18" max="20" width="9" customWidth="1"/>
    <col min="21" max="22" width="9" style="13" customWidth="1"/>
  </cols>
  <sheetData>
    <row r="2" spans="2:22" x14ac:dyDescent="0.35">
      <c r="D2" s="26"/>
      <c r="E2" s="26"/>
      <c r="F2" s="26"/>
    </row>
    <row r="7" spans="2:22" s="1" customFormat="1" x14ac:dyDescent="0.35">
      <c r="B7" s="41" t="s">
        <v>6</v>
      </c>
      <c r="C7" s="42"/>
      <c r="D7" s="36" t="s">
        <v>5</v>
      </c>
      <c r="E7" s="36"/>
      <c r="F7" s="36"/>
      <c r="G7" s="24" t="s">
        <v>7</v>
      </c>
      <c r="H7" s="25"/>
      <c r="I7" s="36" t="s">
        <v>8</v>
      </c>
      <c r="J7" s="36"/>
      <c r="K7" s="36"/>
      <c r="L7" s="37" t="s">
        <v>11</v>
      </c>
      <c r="M7" s="39" t="s">
        <v>12</v>
      </c>
      <c r="N7" s="40"/>
      <c r="P7" s="15" t="s">
        <v>69</v>
      </c>
      <c r="Q7" s="14"/>
      <c r="U7" s="15" t="s">
        <v>69</v>
      </c>
      <c r="V7" s="14"/>
    </row>
    <row r="8" spans="2:22" s="1" customFormat="1" x14ac:dyDescent="0.35">
      <c r="B8" s="7" t="s">
        <v>0</v>
      </c>
      <c r="C8" s="7" t="s">
        <v>1</v>
      </c>
      <c r="D8" s="6" t="s">
        <v>100</v>
      </c>
      <c r="E8" s="6" t="s">
        <v>101</v>
      </c>
      <c r="F8" s="6" t="s">
        <v>4</v>
      </c>
      <c r="G8" s="2" t="s">
        <v>9</v>
      </c>
      <c r="H8" s="2" t="s">
        <v>10</v>
      </c>
      <c r="I8" s="6" t="s">
        <v>100</v>
      </c>
      <c r="J8" s="6" t="s">
        <v>101</v>
      </c>
      <c r="K8" s="6" t="s">
        <v>4</v>
      </c>
      <c r="L8" s="38"/>
      <c r="M8" s="6" t="s">
        <v>13</v>
      </c>
      <c r="N8" s="6" t="s">
        <v>14</v>
      </c>
      <c r="P8" s="14" t="s">
        <v>2</v>
      </c>
      <c r="Q8" s="14" t="s">
        <v>3</v>
      </c>
      <c r="U8" s="14" t="s">
        <v>2</v>
      </c>
      <c r="V8" s="14" t="s">
        <v>3</v>
      </c>
    </row>
    <row r="9" spans="2:22" x14ac:dyDescent="0.35">
      <c r="B9" s="32" t="s">
        <v>42</v>
      </c>
      <c r="C9" s="33"/>
      <c r="D9" s="33"/>
      <c r="E9" s="33"/>
      <c r="F9" s="33"/>
      <c r="G9" s="33"/>
      <c r="H9" s="33"/>
      <c r="I9" s="33"/>
      <c r="J9" s="33"/>
      <c r="K9" s="33"/>
      <c r="L9" s="33"/>
      <c r="M9" s="33"/>
      <c r="N9" s="34"/>
      <c r="S9" t="s">
        <v>64</v>
      </c>
    </row>
    <row r="10" spans="2:22" x14ac:dyDescent="0.35">
      <c r="B10" s="43" t="s">
        <v>149</v>
      </c>
      <c r="C10" s="44"/>
      <c r="D10" s="44"/>
      <c r="E10" s="44"/>
      <c r="F10" s="44"/>
      <c r="G10" s="44"/>
      <c r="H10" s="44"/>
      <c r="I10" s="44"/>
      <c r="J10" s="44"/>
      <c r="K10" s="44"/>
      <c r="L10" s="44"/>
      <c r="M10" s="44"/>
      <c r="N10" s="45"/>
    </row>
    <row r="11" spans="2:22" x14ac:dyDescent="0.35">
      <c r="B11" s="29" t="s">
        <v>102</v>
      </c>
      <c r="C11" s="8" t="s">
        <v>43</v>
      </c>
      <c r="D11" s="4"/>
      <c r="E11" s="4"/>
      <c r="F11" s="4" t="str">
        <f>IF(P11*Q11=0,$S$15,VLOOKUP(Q11,Lookups!$D$4:$J$8,'Design Phase'!P11+2))</f>
        <v>Select L  &amp; C</v>
      </c>
      <c r="G11" s="5"/>
      <c r="H11" s="5"/>
      <c r="I11" s="4"/>
      <c r="J11" s="4"/>
      <c r="K11" s="4" t="str">
        <f>IF(U11*V11=0,$S$15,VLOOKUP(V11,Lookups!$D$4:$J$8,'Design Phase'!U11+2))</f>
        <v>Select L  &amp; C</v>
      </c>
      <c r="L11" s="11"/>
      <c r="M11" s="10"/>
      <c r="N11" s="10"/>
      <c r="P11" s="13">
        <f>IF(D11=Lookups!$B$4,1,IF(D11=Lookups!$B$5,2,IF(D11=Lookups!$B$6,3,IF(D11=Lookups!$B$7,4,IF(D11=Lookups!$B$8,5,0)))))</f>
        <v>0</v>
      </c>
      <c r="Q11" s="13">
        <f>IF(E11=Lookups!$C$4,1,IF(E11=Lookups!$C$5,2,IF(E11=Lookups!$C$6,3,IF(E11=Lookups!$C$7,4,IF(E11=Lookups!$C$8,5,0)))))</f>
        <v>0</v>
      </c>
      <c r="S11" t="s">
        <v>65</v>
      </c>
      <c r="U11" s="13">
        <f>IF(I11=Lookups!$B$4,1,IF(I11=Lookups!$B$5,2,IF(I11=Lookups!$B$6,3,IF(I11=Lookups!$B$7,4,IF(I11=Lookups!$B$8,5,0)))))</f>
        <v>0</v>
      </c>
      <c r="V11" s="13">
        <f>IF(J11=Lookups!$C$4,1,IF(J11=Lookups!$C$5,2,IF(J11=Lookups!$C$6,3,IF(J11=Lookups!$C$7,4,IF(J11=Lookups!$C$8,5,0)))))</f>
        <v>0</v>
      </c>
    </row>
    <row r="12" spans="2:22" ht="43.5" x14ac:dyDescent="0.35">
      <c r="B12" s="31"/>
      <c r="C12" s="8" t="s">
        <v>107</v>
      </c>
      <c r="D12" s="4"/>
      <c r="E12" s="4"/>
      <c r="F12" s="4" t="str">
        <f>IF(P12*Q12=0,$S$15,VLOOKUP(Q12,Lookups!$D$4:$J$8,'Design Phase'!P12+2))</f>
        <v>Select L  &amp; C</v>
      </c>
      <c r="G12" s="5"/>
      <c r="H12" s="5"/>
      <c r="I12" s="4"/>
      <c r="J12" s="4"/>
      <c r="K12" s="4" t="str">
        <f>IF(U12*V12=0,$S$15,VLOOKUP(V12,Lookups!$D$4:$J$8,'Design Phase'!U12+2))</f>
        <v>Select L  &amp; C</v>
      </c>
      <c r="L12" s="11"/>
      <c r="M12" s="10"/>
      <c r="N12" s="10"/>
      <c r="P12" s="13">
        <f>IF(D12=Lookups!$B$4,1,IF(D12=Lookups!$B$5,2,IF(D12=Lookups!$B$6,3,IF(D12=Lookups!$B$7,4,IF(D12=Lookups!$B$8,5,0)))))</f>
        <v>0</v>
      </c>
      <c r="Q12" s="13">
        <f>IF(E12=Lookups!$C$4,1,IF(E12=Lookups!$C$5,2,IF(E12=Lookups!$C$6,3,IF(E12=Lookups!$C$7,4,IF(E12=Lookups!$C$8,5,0)))))</f>
        <v>0</v>
      </c>
      <c r="S12" t="s">
        <v>66</v>
      </c>
      <c r="U12" s="13">
        <f>IF(I12=Lookups!$B$4,1,IF(I12=Lookups!$B$5,2,IF(I12=Lookups!$B$6,3,IF(I12=Lookups!$B$7,4,IF(I12=Lookups!$B$8,5,0)))))</f>
        <v>0</v>
      </c>
      <c r="V12" s="13">
        <f>IF(J12=Lookups!$C$4,1,IF(J12=Lookups!$C$5,2,IF(J12=Lookups!$C$6,3,IF(J12=Lookups!$C$7,4,IF(J12=Lookups!$C$8,5,0)))))</f>
        <v>0</v>
      </c>
    </row>
    <row r="13" spans="2:22" ht="29" x14ac:dyDescent="0.35">
      <c r="B13" s="31"/>
      <c r="C13" s="8" t="s">
        <v>44</v>
      </c>
      <c r="D13" s="4"/>
      <c r="E13" s="4"/>
      <c r="F13" s="4" t="str">
        <f>IF(P13*Q13=0,$S$15,VLOOKUP(Q13,Lookups!$D$4:$J$8,'Design Phase'!P13+2))</f>
        <v>Select L  &amp; C</v>
      </c>
      <c r="G13" s="5"/>
      <c r="H13" s="5"/>
      <c r="I13" s="4"/>
      <c r="J13" s="4"/>
      <c r="K13" s="4" t="str">
        <f>IF(U13*V13=0,$S$15,VLOOKUP(V13,Lookups!$D$4:$J$8,'Design Phase'!U13+2))</f>
        <v>Select L  &amp; C</v>
      </c>
      <c r="L13" s="11"/>
      <c r="M13" s="10"/>
      <c r="N13" s="10"/>
      <c r="P13" s="13">
        <f>IF(D13=Lookups!$B$4,1,IF(D13=Lookups!$B$5,2,IF(D13=Lookups!$B$6,3,IF(D13=Lookups!$B$7,4,IF(D13=Lookups!$B$8,5,0)))))</f>
        <v>0</v>
      </c>
      <c r="Q13" s="13">
        <f>IF(E13=Lookups!$C$4,1,IF(E13=Lookups!$C$5,2,IF(E13=Lookups!$C$6,3,IF(E13=Lookups!$C$7,4,IF(E13=Lookups!$C$8,5,0)))))</f>
        <v>0</v>
      </c>
      <c r="S13" t="s">
        <v>67</v>
      </c>
      <c r="U13" s="13">
        <f>IF(I13=Lookups!$B$4,1,IF(I13=Lookups!$B$5,2,IF(I13=Lookups!$B$6,3,IF(I13=Lookups!$B$7,4,IF(I13=Lookups!$B$8,5,0)))))</f>
        <v>0</v>
      </c>
      <c r="V13" s="13">
        <f>IF(J13=Lookups!$C$4,1,IF(J13=Lookups!$C$5,2,IF(J13=Lookups!$C$6,3,IF(J13=Lookups!$C$7,4,IF(J13=Lookups!$C$8,5,0)))))</f>
        <v>0</v>
      </c>
    </row>
    <row r="14" spans="2:22" ht="43.5" x14ac:dyDescent="0.35">
      <c r="B14" s="31"/>
      <c r="C14" s="8" t="s">
        <v>45</v>
      </c>
      <c r="D14" s="4"/>
      <c r="E14" s="4"/>
      <c r="F14" s="4" t="str">
        <f>IF(P14*Q14=0,$S$15,VLOOKUP(Q14,Lookups!$D$4:$J$8,'Design Phase'!P14+2))</f>
        <v>Select L  &amp; C</v>
      </c>
      <c r="G14" s="5"/>
      <c r="H14" s="5"/>
      <c r="I14" s="4"/>
      <c r="J14" s="4"/>
      <c r="K14" s="4" t="str">
        <f>IF(U14*V14=0,$S$15,VLOOKUP(V14,Lookups!$D$4:$J$8,'Design Phase'!U14+2))</f>
        <v>Select L  &amp; C</v>
      </c>
      <c r="L14" s="11"/>
      <c r="M14" s="10"/>
      <c r="N14" s="10"/>
      <c r="P14" s="13">
        <f>IF(D14=Lookups!$B$4,1,IF(D14=Lookups!$B$5,2,IF(D14=Lookups!$B$6,3,IF(D14=Lookups!$B$7,4,IF(D14=Lookups!$B$8,5,0)))))</f>
        <v>0</v>
      </c>
      <c r="Q14" s="13">
        <f>IF(E14=Lookups!$C$4,1,IF(E14=Lookups!$C$5,2,IF(E14=Lookups!$C$6,3,IF(E14=Lookups!$C$7,4,IF(E14=Lookups!$C$8,5,0)))))</f>
        <v>0</v>
      </c>
      <c r="S14" t="s">
        <v>68</v>
      </c>
      <c r="U14" s="13">
        <f>IF(I14=Lookups!$B$4,1,IF(I14=Lookups!$B$5,2,IF(I14=Lookups!$B$6,3,IF(I14=Lookups!$B$7,4,IF(I14=Lookups!$B$8,5,0)))))</f>
        <v>0</v>
      </c>
      <c r="V14" s="13">
        <f>IF(J14=Lookups!$C$4,1,IF(J14=Lookups!$C$5,2,IF(J14=Lookups!$C$6,3,IF(J14=Lookups!$C$7,4,IF(J14=Lookups!$C$8,5,0)))))</f>
        <v>0</v>
      </c>
    </row>
    <row r="15" spans="2:22" ht="29" x14ac:dyDescent="0.35">
      <c r="B15" s="31"/>
      <c r="C15" s="8" t="s">
        <v>46</v>
      </c>
      <c r="D15" s="4"/>
      <c r="E15" s="4"/>
      <c r="F15" s="4" t="str">
        <f>IF(P15*Q15=0,$S$15,VLOOKUP(Q15,Lookups!$D$4:$J$8,'Design Phase'!P15+2))</f>
        <v>Select L  &amp; C</v>
      </c>
      <c r="G15" s="5"/>
      <c r="H15" s="5"/>
      <c r="I15" s="4"/>
      <c r="J15" s="4"/>
      <c r="K15" s="4" t="str">
        <f>IF(U15*V15=0,$S$15,VLOOKUP(V15,Lookups!$D$4:$J$8,'Design Phase'!U15+2))</f>
        <v>Select L  &amp; C</v>
      </c>
      <c r="L15" s="11"/>
      <c r="M15" s="10"/>
      <c r="N15" s="10"/>
      <c r="P15" s="13">
        <f>IF(D15=Lookups!$B$4,1,IF(D15=Lookups!$B$5,2,IF(D15=Lookups!$B$6,3,IF(D15=Lookups!$B$7,4,IF(D15=Lookups!$B$8,5,0)))))</f>
        <v>0</v>
      </c>
      <c r="Q15" s="13">
        <f>IF(E15=Lookups!$C$4,1,IF(E15=Lookups!$C$5,2,IF(E15=Lookups!$C$6,3,IF(E15=Lookups!$C$7,4,IF(E15=Lookups!$C$8,5,0)))))</f>
        <v>0</v>
      </c>
      <c r="S15" t="str">
        <f>IF(AC15*AD15=0,"Select L  &amp; C",VLOOKUP(AD15,Lookups!Q8:W12,'Design Phase'!AC15+2))</f>
        <v>Select L  &amp; C</v>
      </c>
      <c r="U15" s="13">
        <f>IF(I15=Lookups!$B$4,1,IF(I15=Lookups!$B$5,2,IF(I15=Lookups!$B$6,3,IF(I15=Lookups!$B$7,4,IF(I15=Lookups!$B$8,5,0)))))</f>
        <v>0</v>
      </c>
      <c r="V15" s="13">
        <f>IF(J15=Lookups!$C$4,1,IF(J15=Lookups!$C$5,2,IF(J15=Lookups!$C$6,3,IF(J15=Lookups!$C$7,4,IF(J15=Lookups!$C$8,5,0)))))</f>
        <v>0</v>
      </c>
    </row>
    <row r="16" spans="2:22" x14ac:dyDescent="0.35">
      <c r="B16" s="31"/>
      <c r="C16" s="8" t="s">
        <v>49</v>
      </c>
      <c r="D16" s="4"/>
      <c r="E16" s="4"/>
      <c r="F16" s="4" t="str">
        <f>IF(P16*Q16=0,$S$15,VLOOKUP(Q16,Lookups!$D$4:$J$8,'Design Phase'!P16+2))</f>
        <v>Select L  &amp; C</v>
      </c>
      <c r="G16" s="5"/>
      <c r="H16" s="5"/>
      <c r="I16" s="4"/>
      <c r="J16" s="4"/>
      <c r="K16" s="4" t="str">
        <f>IF(U16*V16=0,$S$15,VLOOKUP(V16,Lookups!$D$4:$J$8,'Design Phase'!U16+2))</f>
        <v>Select L  &amp; C</v>
      </c>
      <c r="L16" s="11"/>
      <c r="M16" s="10"/>
      <c r="N16" s="10"/>
      <c r="P16" s="13">
        <f>IF(D16=Lookups!$B$4,1,IF(D16=Lookups!$B$5,2,IF(D16=Lookups!$B$6,3,IF(D16=Lookups!$B$7,4,IF(D16=Lookups!$B$8,5,0)))))</f>
        <v>0</v>
      </c>
      <c r="Q16" s="13">
        <f>IF(E16=Lookups!$C$4,1,IF(E16=Lookups!$C$5,2,IF(E16=Lookups!$C$6,3,IF(E16=Lookups!$C$7,4,IF(E16=Lookups!$C$8,5,0)))))</f>
        <v>0</v>
      </c>
      <c r="U16" s="13">
        <f>IF(I16=Lookups!$B$4,1,IF(I16=Lookups!$B$5,2,IF(I16=Lookups!$B$6,3,IF(I16=Lookups!$B$7,4,IF(I16=Lookups!$B$8,5,0)))))</f>
        <v>0</v>
      </c>
      <c r="V16" s="13">
        <f>IF(J16=Lookups!$C$4,1,IF(J16=Lookups!$C$5,2,IF(J16=Lookups!$C$6,3,IF(J16=Lookups!$C$7,4,IF(J16=Lookups!$C$8,5,0)))))</f>
        <v>0</v>
      </c>
    </row>
    <row r="17" spans="2:22" ht="29" x14ac:dyDescent="0.35">
      <c r="B17" s="30"/>
      <c r="C17" s="8" t="s">
        <v>47</v>
      </c>
      <c r="D17" s="4"/>
      <c r="E17" s="4"/>
      <c r="F17" s="4" t="str">
        <f>IF(P17*Q17=0,$S$15,VLOOKUP(Q17,Lookups!$D$4:$J$8,'Design Phase'!P17+2))</f>
        <v>Select L  &amp; C</v>
      </c>
      <c r="G17" s="5"/>
      <c r="H17" s="5"/>
      <c r="I17" s="4"/>
      <c r="J17" s="4"/>
      <c r="K17" s="4" t="str">
        <f>IF(U17*V17=0,$S$15,VLOOKUP(V17,Lookups!$D$4:$J$8,'Design Phase'!U17+2))</f>
        <v>Select L  &amp; C</v>
      </c>
      <c r="L17" s="11"/>
      <c r="M17" s="10"/>
      <c r="N17" s="10"/>
      <c r="P17" s="13">
        <f>IF(D17=Lookups!$B$4,1,IF(D17=Lookups!$B$5,2,IF(D17=Lookups!$B$6,3,IF(D17=Lookups!$B$7,4,IF(D17=Lookups!$B$8,5,0)))))</f>
        <v>0</v>
      </c>
      <c r="Q17" s="13">
        <f>IF(E17=Lookups!$C$4,1,IF(E17=Lookups!$C$5,2,IF(E17=Lookups!$C$6,3,IF(E17=Lookups!$C$7,4,IF(E17=Lookups!$C$8,5,0)))))</f>
        <v>0</v>
      </c>
      <c r="U17" s="13">
        <f>IF(I17=Lookups!$B$4,1,IF(I17=Lookups!$B$5,2,IF(I17=Lookups!$B$6,3,IF(I17=Lookups!$B$7,4,IF(I17=Lookups!$B$8,5,0)))))</f>
        <v>0</v>
      </c>
      <c r="V17" s="13">
        <f>IF(J17=Lookups!$C$4,1,IF(J17=Lookups!$C$5,2,IF(J17=Lookups!$C$6,3,IF(J17=Lookups!$C$7,4,IF(J17=Lookups!$C$8,5,0)))))</f>
        <v>0</v>
      </c>
    </row>
    <row r="18" spans="2:22" ht="29" x14ac:dyDescent="0.35">
      <c r="B18" s="29" t="s">
        <v>48</v>
      </c>
      <c r="C18" s="8" t="s">
        <v>70</v>
      </c>
      <c r="D18" s="4"/>
      <c r="E18" s="4"/>
      <c r="F18" s="4" t="str">
        <f>IF(P18*Q18=0,$S$15,VLOOKUP(Q18,Lookups!$D$4:$J$8,'Design Phase'!P18+2))</f>
        <v>Select L  &amp; C</v>
      </c>
      <c r="G18" s="5"/>
      <c r="H18" s="5"/>
      <c r="I18" s="4"/>
      <c r="J18" s="4"/>
      <c r="K18" s="4" t="str">
        <f>IF(U18*V18=0,$S$15,VLOOKUP(V18,Lookups!$D$4:$J$8,'Design Phase'!U18+2))</f>
        <v>Select L  &amp; C</v>
      </c>
      <c r="L18" s="4"/>
      <c r="M18" s="5"/>
      <c r="N18" s="5"/>
      <c r="P18" s="13">
        <f>IF(D18=Lookups!$B$4,1,IF(D18=Lookups!$B$5,2,IF(D18=Lookups!$B$6,3,IF(D18=Lookups!$B$7,4,IF(D18=Lookups!$B$8,5,0)))))</f>
        <v>0</v>
      </c>
      <c r="Q18" s="13">
        <f>IF(E18=Lookups!$C$4,1,IF(E18=Lookups!$C$5,2,IF(E18=Lookups!$C$6,3,IF(E18=Lookups!$C$7,4,IF(E18=Lookups!$C$8,5,0)))))</f>
        <v>0</v>
      </c>
      <c r="U18" s="13">
        <f>IF(I18=Lookups!$B$4,1,IF(I18=Lookups!$B$5,2,IF(I18=Lookups!$B$6,3,IF(I18=Lookups!$B$7,4,IF(I18=Lookups!$B$8,5,0)))))</f>
        <v>0</v>
      </c>
      <c r="V18" s="13">
        <f>IF(J18=Lookups!$C$4,1,IF(J18=Lookups!$C$5,2,IF(J18=Lookups!$C$6,3,IF(J18=Lookups!$C$7,4,IF(J18=Lookups!$C$8,5,0)))))</f>
        <v>0</v>
      </c>
    </row>
    <row r="19" spans="2:22" ht="43.5" x14ac:dyDescent="0.35">
      <c r="B19" s="30"/>
      <c r="C19" s="8" t="s">
        <v>50</v>
      </c>
      <c r="D19" s="4"/>
      <c r="E19" s="4"/>
      <c r="F19" s="4" t="str">
        <f>IF(P19*Q19=0,$S$15,VLOOKUP(Q19,Lookups!$D$4:$J$8,'Design Phase'!P19+2))</f>
        <v>Select L  &amp; C</v>
      </c>
      <c r="G19" s="5"/>
      <c r="H19" s="5"/>
      <c r="I19" s="4"/>
      <c r="J19" s="4"/>
      <c r="K19" s="4" t="str">
        <f>IF(U19*V19=0,$S$15,VLOOKUP(V19,Lookups!$D$4:$J$8,'Design Phase'!U19+2))</f>
        <v>Select L  &amp; C</v>
      </c>
      <c r="L19" s="4"/>
      <c r="M19" s="5"/>
      <c r="N19" s="5"/>
      <c r="P19" s="13">
        <f>IF(D19=Lookups!$B$4,1,IF(D19=Lookups!$B$5,2,IF(D19=Lookups!$B$6,3,IF(D19=Lookups!$B$7,4,IF(D19=Lookups!$B$8,5,0)))))</f>
        <v>0</v>
      </c>
      <c r="Q19" s="13">
        <f>IF(E19=Lookups!$C$4,1,IF(E19=Lookups!$C$5,2,IF(E19=Lookups!$C$6,3,IF(E19=Lookups!$C$7,4,IF(E19=Lookups!$C$8,5,0)))))</f>
        <v>0</v>
      </c>
      <c r="U19" s="13">
        <f>IF(I19=Lookups!$B$4,1,IF(I19=Lookups!$B$5,2,IF(I19=Lookups!$B$6,3,IF(I19=Lookups!$B$7,4,IF(I19=Lookups!$B$8,5,0)))))</f>
        <v>0</v>
      </c>
      <c r="V19" s="13">
        <f>IF(J19=Lookups!$C$4,1,IF(J19=Lookups!$C$5,2,IF(J19=Lookups!$C$6,3,IF(J19=Lookups!$C$7,4,IF(J19=Lookups!$C$8,5,0)))))</f>
        <v>0</v>
      </c>
    </row>
    <row r="20" spans="2:22" ht="72.5" x14ac:dyDescent="0.35">
      <c r="B20" s="19" t="s">
        <v>103</v>
      </c>
      <c r="C20" s="8" t="s">
        <v>105</v>
      </c>
      <c r="D20" s="4"/>
      <c r="E20" s="4"/>
      <c r="F20" s="4" t="str">
        <f>IF(P20*Q20=0,$S$15,VLOOKUP(Q20,Lookups!$D$4:$J$8,'Design Phase'!P20+2))</f>
        <v>Select L  &amp; C</v>
      </c>
      <c r="G20" s="5"/>
      <c r="H20" s="5"/>
      <c r="I20" s="4"/>
      <c r="J20" s="4"/>
      <c r="K20" s="4" t="str">
        <f>IF(U20*V20=0,$S$15,VLOOKUP(V20,Lookups!$D$4:$J$8,'Design Phase'!U20+2))</f>
        <v>Select L  &amp; C</v>
      </c>
      <c r="L20" s="4"/>
      <c r="M20" s="5"/>
      <c r="N20" s="5"/>
      <c r="P20" s="13">
        <f>IF(D20=Lookups!$B$4,1,IF(D20=Lookups!$B$5,2,IF(D20=Lookups!$B$6,3,IF(D20=Lookups!$B$7,4,IF(D20=Lookups!$B$8,5,0)))))</f>
        <v>0</v>
      </c>
      <c r="Q20" s="13">
        <f>IF(E20=Lookups!$C$4,1,IF(E20=Lookups!$C$5,2,IF(E20=Lookups!$C$6,3,IF(E20=Lookups!$C$7,4,IF(E20=Lookups!$C$8,5,0)))))</f>
        <v>0</v>
      </c>
      <c r="U20" s="13">
        <f>IF(I20=Lookups!$B$4,1,IF(I20=Lookups!$B$5,2,IF(I20=Lookups!$B$6,3,IF(I20=Lookups!$B$7,4,IF(I20=Lookups!$B$8,5,0)))))</f>
        <v>0</v>
      </c>
      <c r="V20" s="13">
        <f>IF(J20=Lookups!$C$4,1,IF(J20=Lookups!$C$5,2,IF(J20=Lookups!$C$6,3,IF(J20=Lookups!$C$7,4,IF(J20=Lookups!$C$8,5,0)))))</f>
        <v>0</v>
      </c>
    </row>
    <row r="21" spans="2:22" ht="72.5" x14ac:dyDescent="0.35">
      <c r="B21" s="8" t="s">
        <v>104</v>
      </c>
      <c r="C21" s="8" t="s">
        <v>106</v>
      </c>
      <c r="D21" s="4"/>
      <c r="E21" s="4"/>
      <c r="F21" s="4" t="str">
        <f>IF(P21*Q21=0,$S$15,VLOOKUP(Q21,Lookups!$D$4:$J$8,'Design Phase'!P21+2))</f>
        <v>Select L  &amp; C</v>
      </c>
      <c r="G21" s="5"/>
      <c r="H21" s="5"/>
      <c r="I21" s="4"/>
      <c r="J21" s="4"/>
      <c r="K21" s="4" t="str">
        <f>IF(U21*V21=0,$S$15,VLOOKUP(V21,Lookups!$D$4:$J$8,'Design Phase'!U21+2))</f>
        <v>Select L  &amp; C</v>
      </c>
      <c r="L21" s="4"/>
      <c r="M21" s="5"/>
      <c r="N21" s="5"/>
      <c r="P21" s="13">
        <f>IF(D21=Lookups!$B$4,1,IF(D21=Lookups!$B$5,2,IF(D21=Lookups!$B$6,3,IF(D21=Lookups!$B$7,4,IF(D21=Lookups!$B$8,5,0)))))</f>
        <v>0</v>
      </c>
      <c r="Q21" s="13">
        <f>IF(E21=Lookups!$C$4,1,IF(E21=Lookups!$C$5,2,IF(E21=Lookups!$C$6,3,IF(E21=Lookups!$C$7,4,IF(E21=Lookups!$C$8,5,0)))))</f>
        <v>0</v>
      </c>
      <c r="U21" s="13">
        <f>IF(I21=Lookups!$B$4,1,IF(I21=Lookups!$B$5,2,IF(I21=Lookups!$B$6,3,IF(I21=Lookups!$B$7,4,IF(I21=Lookups!$B$8,5,0)))))</f>
        <v>0</v>
      </c>
      <c r="V21" s="13">
        <f>IF(J21=Lookups!$C$4,1,IF(J21=Lookups!$C$5,2,IF(J21=Lookups!$C$6,3,IF(J21=Lookups!$C$7,4,IF(J21=Lookups!$C$8,5,0)))))</f>
        <v>0</v>
      </c>
    </row>
    <row r="22" spans="2:22" ht="43.5" x14ac:dyDescent="0.35">
      <c r="B22" s="29" t="s">
        <v>146</v>
      </c>
      <c r="C22" s="8" t="s">
        <v>147</v>
      </c>
      <c r="D22" s="4"/>
      <c r="E22" s="4"/>
      <c r="F22" s="4" t="str">
        <f>IF(P22*Q22=0,$S$15,VLOOKUP(Q22,Lookups!$D$4:$J$8,'Design Phase'!P22+2))</f>
        <v>Select L  &amp; C</v>
      </c>
      <c r="G22" s="5"/>
      <c r="H22" s="5"/>
      <c r="I22" s="4"/>
      <c r="J22" s="4"/>
      <c r="K22" s="4" t="str">
        <f>IF(U22*V22=0,$S$15,VLOOKUP(V22,Lookups!$D$4:$J$8,'Design Phase'!U22+2))</f>
        <v>Select L  &amp; C</v>
      </c>
      <c r="L22" s="4"/>
      <c r="M22" s="5"/>
      <c r="N22" s="5"/>
    </row>
    <row r="23" spans="2:22" ht="29" x14ac:dyDescent="0.35">
      <c r="B23" s="30"/>
      <c r="C23" s="8" t="s">
        <v>148</v>
      </c>
      <c r="D23" s="4"/>
      <c r="E23" s="4"/>
      <c r="F23" s="4" t="str">
        <f>IF(P23*Q23=0,$S$15,VLOOKUP(Q23,Lookups!$D$4:$J$8,'Design Phase'!P23+2))</f>
        <v>Select L  &amp; C</v>
      </c>
      <c r="G23" s="5"/>
      <c r="H23" s="5"/>
      <c r="I23" s="4"/>
      <c r="J23" s="4"/>
      <c r="K23" s="4" t="str">
        <f>IF(U23*V23=0,$S$15,VLOOKUP(V23,Lookups!$D$4:$J$8,'Design Phase'!U23+2))</f>
        <v>Select L  &amp; C</v>
      </c>
      <c r="L23" s="4"/>
      <c r="M23" s="5"/>
      <c r="N23" s="5"/>
    </row>
    <row r="24" spans="2:22" x14ac:dyDescent="0.35">
      <c r="B24" s="43" t="s">
        <v>150</v>
      </c>
      <c r="C24" s="44"/>
      <c r="D24" s="44"/>
      <c r="E24" s="44"/>
      <c r="F24" s="44"/>
      <c r="G24" s="44"/>
      <c r="H24" s="44"/>
      <c r="I24" s="44"/>
      <c r="J24" s="44"/>
      <c r="K24" s="44"/>
      <c r="L24" s="44"/>
      <c r="M24" s="44"/>
      <c r="N24" s="45"/>
    </row>
    <row r="25" spans="2:22" ht="101.5" x14ac:dyDescent="0.35">
      <c r="B25" s="21" t="s">
        <v>152</v>
      </c>
      <c r="C25" s="8" t="s">
        <v>151</v>
      </c>
      <c r="D25" s="4"/>
      <c r="E25" s="4"/>
      <c r="F25" s="4" t="str">
        <f>IF(P25*Q25=0,$S$15,VLOOKUP(Q25,Lookups!$D$4:$J$8,'Design Phase'!P25+2))</f>
        <v>Select L  &amp; C</v>
      </c>
      <c r="G25" s="5"/>
      <c r="H25" s="5"/>
      <c r="I25" s="4"/>
      <c r="J25" s="4"/>
      <c r="K25" s="4" t="str">
        <f>IF(U25*V25=0,$S$15,VLOOKUP(V25,Lookups!$D$4:$J$8,'Design Phase'!U25+2))</f>
        <v>Select L  &amp; C</v>
      </c>
      <c r="L25" s="11"/>
      <c r="M25" s="10"/>
      <c r="N25" s="10"/>
      <c r="P25" s="13">
        <f>IF(D25=Lookups!$B$4,1,IF(D25=Lookups!$B$5,2,IF(D25=Lookups!$B$6,3,IF(D25=Lookups!$B$7,4,IF(D25=Lookups!$B$8,5,0)))))</f>
        <v>0</v>
      </c>
      <c r="Q25" s="13">
        <f>IF(E25=Lookups!$C$4,1,IF(E25=Lookups!$C$5,2,IF(E25=Lookups!$C$6,3,IF(E25=Lookups!$C$7,4,IF(E25=Lookups!$C$8,5,0)))))</f>
        <v>0</v>
      </c>
      <c r="S25" t="s">
        <v>65</v>
      </c>
      <c r="U25" s="13">
        <f>IF(I25=Lookups!$B$4,1,IF(I25=Lookups!$B$5,2,IF(I25=Lookups!$B$6,3,IF(I25=Lookups!$B$7,4,IF(I25=Lookups!$B$8,5,0)))))</f>
        <v>0</v>
      </c>
      <c r="V25" s="13">
        <f>IF(J25=Lookups!$C$4,1,IF(J25=Lookups!$C$5,2,IF(J25=Lookups!$C$6,3,IF(J25=Lookups!$C$7,4,IF(J25=Lookups!$C$8,5,0)))))</f>
        <v>0</v>
      </c>
    </row>
    <row r="26" spans="2:22" ht="101.5" x14ac:dyDescent="0.35">
      <c r="B26" s="21" t="s">
        <v>153</v>
      </c>
      <c r="C26" s="8" t="s">
        <v>154</v>
      </c>
      <c r="D26" s="4"/>
      <c r="E26" s="4"/>
      <c r="F26" s="4" t="str">
        <f>IF(P26*Q26=0,$S$15,VLOOKUP(Q26,Lookups!$D$4:$J$8,'Design Phase'!P26+2))</f>
        <v>Select L  &amp; C</v>
      </c>
      <c r="G26" s="5"/>
      <c r="H26" s="5"/>
      <c r="I26" s="4"/>
      <c r="J26" s="4"/>
      <c r="K26" s="4" t="str">
        <f>IF(U26*V26=0,$S$15,VLOOKUP(V26,Lookups!$D$4:$J$8,'Design Phase'!U26+2))</f>
        <v>Select L  &amp; C</v>
      </c>
      <c r="L26" s="11"/>
      <c r="M26" s="10"/>
      <c r="N26" s="10"/>
    </row>
    <row r="27" spans="2:22" ht="72.5" x14ac:dyDescent="0.35">
      <c r="B27" s="21" t="s">
        <v>157</v>
      </c>
      <c r="C27" s="8" t="s">
        <v>158</v>
      </c>
      <c r="D27" s="4"/>
      <c r="E27" s="4"/>
      <c r="F27" s="4" t="str">
        <f>IF(P27*Q27=0,$S$15,VLOOKUP(Q27,Lookups!$D$4:$J$8,'Design Phase'!P27+2))</f>
        <v>Select L  &amp; C</v>
      </c>
      <c r="G27" s="5"/>
      <c r="H27" s="5"/>
      <c r="I27" s="4"/>
      <c r="J27" s="4"/>
      <c r="K27" s="4"/>
      <c r="L27" s="11"/>
      <c r="M27" s="10"/>
      <c r="N27" s="10"/>
    </row>
    <row r="28" spans="2:22" ht="72.5" x14ac:dyDescent="0.35">
      <c r="B28" s="21" t="s">
        <v>155</v>
      </c>
      <c r="C28" s="8" t="s">
        <v>156</v>
      </c>
      <c r="D28" s="4"/>
      <c r="E28" s="4"/>
      <c r="F28" s="4" t="str">
        <f>IF(P28*Q28=0,$S$15,VLOOKUP(Q28,Lookups!$D$4:$J$8,'Design Phase'!P28+2))</f>
        <v>Select L  &amp; C</v>
      </c>
      <c r="G28" s="5"/>
      <c r="H28" s="5"/>
      <c r="I28" s="4"/>
      <c r="J28" s="4"/>
      <c r="K28" s="4" t="str">
        <f>IF(U28*V28=0,$S$15,VLOOKUP(V28,Lookups!$D$4:$J$8,'Design Phase'!U28+2))</f>
        <v>Select L  &amp; C</v>
      </c>
      <c r="L28" s="11"/>
      <c r="M28" s="10"/>
      <c r="N28" s="10"/>
    </row>
    <row r="29" spans="2:22" ht="87" x14ac:dyDescent="0.35">
      <c r="B29" s="21" t="s">
        <v>159</v>
      </c>
      <c r="C29" s="8" t="s">
        <v>160</v>
      </c>
      <c r="D29" s="4"/>
      <c r="E29" s="4"/>
      <c r="F29" s="4" t="str">
        <f>IF(P29*Q29=0,$S$15,VLOOKUP(Q29,Lookups!$D$4:$J$8,'Design Phase'!P29+2))</f>
        <v>Select L  &amp; C</v>
      </c>
      <c r="G29" s="5"/>
      <c r="H29" s="5"/>
      <c r="I29" s="4"/>
      <c r="J29" s="4"/>
      <c r="K29" s="4" t="str">
        <f>IF(U29*V29=0,$S$15,VLOOKUP(V29,Lookups!$D$4:$J$8,'Design Phase'!U29+2))</f>
        <v>Select L  &amp; C</v>
      </c>
      <c r="L29" s="11"/>
      <c r="M29" s="10"/>
      <c r="N29" s="10"/>
    </row>
    <row r="30" spans="2:22" ht="72.5" x14ac:dyDescent="0.35">
      <c r="B30" s="21" t="s">
        <v>161</v>
      </c>
      <c r="C30" s="8" t="s">
        <v>162</v>
      </c>
      <c r="D30" s="4"/>
      <c r="E30" s="4"/>
      <c r="F30" s="4" t="str">
        <f>IF(P30*Q30=0,$S$15,VLOOKUP(Q30,Lookups!$D$4:$J$8,'Design Phase'!P30+2))</f>
        <v>Select L  &amp; C</v>
      </c>
      <c r="G30" s="5"/>
      <c r="H30" s="5"/>
      <c r="I30" s="4"/>
      <c r="J30" s="4"/>
      <c r="K30" s="4" t="str">
        <f>IF(U30*V30=0,$S$15,VLOOKUP(V30,Lookups!$D$4:$J$8,'Design Phase'!U30+2))</f>
        <v>Select L  &amp; C</v>
      </c>
      <c r="L30" s="11"/>
      <c r="M30" s="10"/>
      <c r="N30" s="10"/>
    </row>
    <row r="31" spans="2:22" x14ac:dyDescent="0.35">
      <c r="B31" s="27" t="s">
        <v>27</v>
      </c>
      <c r="C31" s="35"/>
      <c r="D31" s="35"/>
      <c r="E31" s="35"/>
      <c r="F31" s="35"/>
      <c r="G31" s="35"/>
      <c r="H31" s="35"/>
      <c r="I31" s="35"/>
      <c r="J31" s="35"/>
      <c r="K31" s="35"/>
      <c r="L31" s="35"/>
      <c r="M31" s="35"/>
      <c r="N31" s="28"/>
      <c r="P31" s="13">
        <f>IF(D31=Lookups!$B$4,1,IF(D31=Lookups!$B$5,2,IF(D31=Lookups!$B$6,3,IF(D31=Lookups!$B$7,4,IF(D31=Lookups!$B$8,5,0)))))</f>
        <v>0</v>
      </c>
      <c r="Q31" s="13">
        <f>IF(E31=Lookups!$C$4,1,IF(E31=Lookups!$C$5,2,IF(E31=Lookups!$C$6,3,IF(E31=Lookups!$C$7,4,IF(E31=Lookups!$C$8,5,0)))))</f>
        <v>0</v>
      </c>
      <c r="U31" s="13">
        <f>IF(I31=Lookups!$B$4,1,IF(I31=Lookups!$B$5,2,IF(I31=Lookups!$B$6,3,IF(I31=Lookups!$B$7,4,IF(I31=Lookups!$B$8,5,0)))))</f>
        <v>0</v>
      </c>
      <c r="V31" s="13">
        <f>IF(J31=Lookups!$C$4,1,IF(J31=Lookups!$C$5,2,IF(J31=Lookups!$C$6,3,IF(J31=Lookups!$C$7,4,IF(J31=Lookups!$C$8,5,0)))))</f>
        <v>0</v>
      </c>
    </row>
    <row r="32" spans="2:22" x14ac:dyDescent="0.35">
      <c r="B32" s="43" t="s">
        <v>149</v>
      </c>
      <c r="C32" s="44"/>
      <c r="D32" s="44"/>
      <c r="E32" s="44"/>
      <c r="F32" s="44"/>
      <c r="G32" s="44"/>
      <c r="H32" s="44"/>
      <c r="I32" s="44"/>
      <c r="J32" s="44"/>
      <c r="K32" s="44"/>
      <c r="L32" s="44"/>
      <c r="M32" s="44"/>
      <c r="N32" s="45"/>
    </row>
    <row r="33" spans="2:22" ht="58" x14ac:dyDescent="0.35">
      <c r="B33" s="29" t="s">
        <v>73</v>
      </c>
      <c r="C33" s="8" t="s">
        <v>75</v>
      </c>
      <c r="D33" s="4"/>
      <c r="E33" s="4"/>
      <c r="F33" s="4" t="str">
        <f>IF(P33*Q33=0,$S$15,VLOOKUP(Q33,Lookups!$D$4:$J$8,'Design Phase'!P33+2))</f>
        <v>Select L  &amp; C</v>
      </c>
      <c r="G33" s="5"/>
      <c r="H33" s="5"/>
      <c r="I33" s="4"/>
      <c r="J33" s="4"/>
      <c r="K33" s="4" t="str">
        <f>IF(U33*V33=0,$S$15,VLOOKUP(V33,Lookups!$D$4:$J$8,'Design Phase'!U33+2))</f>
        <v>Select L  &amp; C</v>
      </c>
      <c r="L33" s="4"/>
      <c r="M33" s="5"/>
      <c r="N33" s="5"/>
      <c r="P33" s="13">
        <f>IF(D33=Lookups!$B$4,1,IF(D33=Lookups!$B$5,2,IF(D33=Lookups!$B$6,3,IF(D33=Lookups!$B$7,4,IF(D33=Lookups!$B$8,5,0)))))</f>
        <v>0</v>
      </c>
      <c r="Q33" s="13">
        <f>IF(E33=Lookups!$C$4,1,IF(E33=Lookups!$C$5,2,IF(E33=Lookups!$C$6,3,IF(E33=Lookups!$C$7,4,IF(E33=Lookups!$C$8,5,0)))))</f>
        <v>0</v>
      </c>
      <c r="U33" s="13">
        <f>IF(I33=Lookups!$B$4,1,IF(I33=Lookups!$B$5,2,IF(I33=Lookups!$B$6,3,IF(I33=Lookups!$B$7,4,IF(I33=Lookups!$B$8,5,0)))))</f>
        <v>0</v>
      </c>
      <c r="V33" s="13">
        <f>IF(J33=Lookups!$C$4,1,IF(J33=Lookups!$C$5,2,IF(J33=Lookups!$C$6,3,IF(J33=Lookups!$C$7,4,IF(J33=Lookups!$C$8,5,0)))))</f>
        <v>0</v>
      </c>
    </row>
    <row r="34" spans="2:22" ht="29" x14ac:dyDescent="0.35">
      <c r="B34" s="31"/>
      <c r="C34" s="8" t="s">
        <v>74</v>
      </c>
      <c r="D34" s="4"/>
      <c r="E34" s="4"/>
      <c r="F34" s="4" t="str">
        <f>IF(P34*Q34=0,$S$15,VLOOKUP(Q34,Lookups!$D$4:$J$8,'Design Phase'!P34+2))</f>
        <v>Select L  &amp; C</v>
      </c>
      <c r="G34" s="5"/>
      <c r="H34" s="5"/>
      <c r="I34" s="4"/>
      <c r="J34" s="4"/>
      <c r="K34" s="4" t="str">
        <f>IF(U34*V34=0,$S$15,VLOOKUP(V34,Lookups!$D$4:$J$8,'Design Phase'!U34+2))</f>
        <v>Select L  &amp; C</v>
      </c>
      <c r="L34" s="4"/>
      <c r="M34" s="5"/>
      <c r="N34" s="5"/>
      <c r="P34" s="13">
        <f>IF(D34=Lookups!$B$4,1,IF(D34=Lookups!$B$5,2,IF(D34=Lookups!$B$6,3,IF(D34=Lookups!$B$7,4,IF(D34=Lookups!$B$8,5,0)))))</f>
        <v>0</v>
      </c>
      <c r="Q34" s="13">
        <f>IF(E34=Lookups!$C$4,1,IF(E34=Lookups!$C$5,2,IF(E34=Lookups!$C$6,3,IF(E34=Lookups!$C$7,4,IF(E34=Lookups!$C$8,5,0)))))</f>
        <v>0</v>
      </c>
      <c r="U34" s="13">
        <f>IF(I34=Lookups!$B$4,1,IF(I34=Lookups!$B$5,2,IF(I34=Lookups!$B$6,3,IF(I34=Lookups!$B$7,4,IF(I34=Lookups!$B$8,5,0)))))</f>
        <v>0</v>
      </c>
      <c r="V34" s="13">
        <f>IF(J34=Lookups!$C$4,1,IF(J34=Lookups!$C$5,2,IF(J34=Lookups!$C$6,3,IF(J34=Lookups!$C$7,4,IF(J34=Lookups!$C$8,5,0)))))</f>
        <v>0</v>
      </c>
    </row>
    <row r="35" spans="2:22" ht="29" x14ac:dyDescent="0.35">
      <c r="B35" s="30"/>
      <c r="C35" s="8" t="s">
        <v>76</v>
      </c>
      <c r="D35" s="4"/>
      <c r="E35" s="4"/>
      <c r="F35" s="4" t="str">
        <f>IF(P35*Q35=0,$S$15,VLOOKUP(Q35,Lookups!$D$4:$J$8,'Design Phase'!P35+2))</f>
        <v>Select L  &amp; C</v>
      </c>
      <c r="G35" s="5"/>
      <c r="H35" s="5"/>
      <c r="I35" s="4"/>
      <c r="J35" s="4"/>
      <c r="K35" s="4" t="str">
        <f>IF(U35*V35=0,$S$15,VLOOKUP(V35,Lookups!$D$4:$J$8,'Design Phase'!U35+2))</f>
        <v>Select L  &amp; C</v>
      </c>
      <c r="L35" s="4"/>
      <c r="M35" s="5"/>
      <c r="N35" s="5"/>
      <c r="P35" s="13">
        <f>IF(D35=Lookups!$B$4,1,IF(D35=Lookups!$B$5,2,IF(D35=Lookups!$B$6,3,IF(D35=Lookups!$B$7,4,IF(D35=Lookups!$B$8,5,0)))))</f>
        <v>0</v>
      </c>
      <c r="Q35" s="13">
        <f>IF(E35=Lookups!$C$4,1,IF(E35=Lookups!$C$5,2,IF(E35=Lookups!$C$6,3,IF(E35=Lookups!$C$7,4,IF(E35=Lookups!$C$8,5,0)))))</f>
        <v>0</v>
      </c>
      <c r="U35" s="13">
        <f>IF(I35=Lookups!$B$4,1,IF(I35=Lookups!$B$5,2,IF(I35=Lookups!$B$6,3,IF(I35=Lookups!$B$7,4,IF(I35=Lookups!$B$8,5,0)))))</f>
        <v>0</v>
      </c>
      <c r="V35" s="13">
        <f>IF(J35=Lookups!$C$4,1,IF(J35=Lookups!$C$5,2,IF(J35=Lookups!$C$6,3,IF(J35=Lookups!$C$7,4,IF(J35=Lookups!$C$8,5,0)))))</f>
        <v>0</v>
      </c>
    </row>
    <row r="36" spans="2:22" ht="72.5" x14ac:dyDescent="0.35">
      <c r="B36" s="29" t="s">
        <v>77</v>
      </c>
      <c r="C36" s="8" t="s">
        <v>78</v>
      </c>
      <c r="D36" s="4"/>
      <c r="E36" s="4"/>
      <c r="F36" s="4" t="str">
        <f>IF(P36*Q36=0,$S$15,VLOOKUP(Q36,Lookups!$D$4:$J$8,'Design Phase'!P36+2))</f>
        <v>Select L  &amp; C</v>
      </c>
      <c r="G36" s="5"/>
      <c r="H36" s="5"/>
      <c r="I36" s="4"/>
      <c r="J36" s="4"/>
      <c r="K36" s="4" t="str">
        <f>IF(U36*V36=0,$S$15,VLOOKUP(V36,Lookups!$D$4:$J$8,'Design Phase'!U36+2))</f>
        <v>Select L  &amp; C</v>
      </c>
      <c r="L36" s="4"/>
      <c r="M36" s="5"/>
      <c r="N36" s="5"/>
      <c r="P36" s="13">
        <f>IF(D36=Lookups!$B$4,1,IF(D36=Lookups!$B$5,2,IF(D36=Lookups!$B$6,3,IF(D36=Lookups!$B$7,4,IF(D36=Lookups!$B$8,5,0)))))</f>
        <v>0</v>
      </c>
      <c r="Q36" s="13">
        <f>IF(E36=Lookups!$C$4,1,IF(E36=Lookups!$C$5,2,IF(E36=Lookups!$C$6,3,IF(E36=Lookups!$C$7,4,IF(E36=Lookups!$C$8,5,0)))))</f>
        <v>0</v>
      </c>
      <c r="U36" s="13">
        <f>IF(I36=Lookups!$B$4,1,IF(I36=Lookups!$B$5,2,IF(I36=Lookups!$B$6,3,IF(I36=Lookups!$B$7,4,IF(I36=Lookups!$B$8,5,0)))))</f>
        <v>0</v>
      </c>
      <c r="V36" s="13">
        <f>IF(J36=Lookups!$C$4,1,IF(J36=Lookups!$C$5,2,IF(J36=Lookups!$C$6,3,IF(J36=Lookups!$C$7,4,IF(J36=Lookups!$C$8,5,0)))))</f>
        <v>0</v>
      </c>
    </row>
    <row r="37" spans="2:22" x14ac:dyDescent="0.35">
      <c r="B37" s="30"/>
      <c r="C37" s="8" t="s">
        <v>28</v>
      </c>
      <c r="D37" s="4"/>
      <c r="E37" s="4"/>
      <c r="F37" s="4" t="str">
        <f>IF(P37*Q37=0,$S$15,VLOOKUP(Q37,Lookups!$D$4:$J$8,'Design Phase'!P37+2))</f>
        <v>Select L  &amp; C</v>
      </c>
      <c r="G37" s="5"/>
      <c r="H37" s="5"/>
      <c r="I37" s="4"/>
      <c r="J37" s="4"/>
      <c r="K37" s="4" t="str">
        <f>IF(U37*V37=0,$S$15,VLOOKUP(V37,Lookups!$D$4:$J$8,'Design Phase'!U37+2))</f>
        <v>Select L  &amp; C</v>
      </c>
      <c r="L37" s="4"/>
      <c r="M37" s="5"/>
      <c r="N37" s="5"/>
      <c r="P37" s="13">
        <f>IF(D37=Lookups!$B$4,1,IF(D37=Lookups!$B$5,2,IF(D37=Lookups!$B$6,3,IF(D37=Lookups!$B$7,4,IF(D37=Lookups!$B$8,5,0)))))</f>
        <v>0</v>
      </c>
      <c r="Q37" s="13">
        <f>IF(E37=Lookups!$C$4,1,IF(E37=Lookups!$C$5,2,IF(E37=Lookups!$C$6,3,IF(E37=Lookups!$C$7,4,IF(E37=Lookups!$C$8,5,0)))))</f>
        <v>0</v>
      </c>
      <c r="U37" s="13">
        <f>IF(I37=Lookups!$B$4,1,IF(I37=Lookups!$B$5,2,IF(I37=Lookups!$B$6,3,IF(I37=Lookups!$B$7,4,IF(I37=Lookups!$B$8,5,0)))))</f>
        <v>0</v>
      </c>
      <c r="V37" s="13">
        <f>IF(J37=Lookups!$C$4,1,IF(J37=Lookups!$C$5,2,IF(J37=Lookups!$C$6,3,IF(J37=Lookups!$C$7,4,IF(J37=Lookups!$C$8,5,0)))))</f>
        <v>0</v>
      </c>
    </row>
    <row r="38" spans="2:22" ht="29" x14ac:dyDescent="0.35">
      <c r="B38" s="29" t="s">
        <v>91</v>
      </c>
      <c r="C38" s="8" t="s">
        <v>80</v>
      </c>
      <c r="D38" s="4"/>
      <c r="E38" s="4"/>
      <c r="F38" s="4" t="str">
        <f>IF(P38*Q38=0,$S$15,VLOOKUP(Q38,Lookups!$D$4:$J$8,'Design Phase'!P38+2))</f>
        <v>Select L  &amp; C</v>
      </c>
      <c r="G38" s="5"/>
      <c r="H38" s="5"/>
      <c r="I38" s="4"/>
      <c r="J38" s="4"/>
      <c r="K38" s="4" t="str">
        <f>IF(U38*V38=0,$S$15,VLOOKUP(V38,Lookups!$D$4:$J$8,'Design Phase'!U38+2))</f>
        <v>Select L  &amp; C</v>
      </c>
      <c r="L38" s="4"/>
      <c r="M38" s="5"/>
      <c r="N38" s="5"/>
      <c r="P38" s="13">
        <f>IF(D38=Lookups!$B$4,1,IF(D38=Lookups!$B$5,2,IF(D38=Lookups!$B$6,3,IF(D38=Lookups!$B$7,4,IF(D38=Lookups!$B$8,5,0)))))</f>
        <v>0</v>
      </c>
      <c r="Q38" s="13">
        <f>IF(E38=Lookups!$C$4,1,IF(E38=Lookups!$C$5,2,IF(E38=Lookups!$C$6,3,IF(E38=Lookups!$C$7,4,IF(E38=Lookups!$C$8,5,0)))))</f>
        <v>0</v>
      </c>
      <c r="U38" s="13">
        <f>IF(I38=Lookups!$B$4,1,IF(I38=Lookups!$B$5,2,IF(I38=Lookups!$B$6,3,IF(I38=Lookups!$B$7,4,IF(I38=Lookups!$B$8,5,0)))))</f>
        <v>0</v>
      </c>
      <c r="V38" s="13">
        <f>IF(J38=Lookups!$C$4,1,IF(J38=Lookups!$C$5,2,IF(J38=Lookups!$C$6,3,IF(J38=Lookups!$C$7,4,IF(J38=Lookups!$C$8,5,0)))))</f>
        <v>0</v>
      </c>
    </row>
    <row r="39" spans="2:22" ht="29" x14ac:dyDescent="0.35">
      <c r="B39" s="31"/>
      <c r="C39" s="8" t="s">
        <v>81</v>
      </c>
      <c r="D39" s="4"/>
      <c r="E39" s="4"/>
      <c r="F39" s="4" t="str">
        <f>IF(P39*Q39=0,$S$15,VLOOKUP(Q39,Lookups!$D$4:$J$8,'Design Phase'!P39+2))</f>
        <v>Select L  &amp; C</v>
      </c>
      <c r="G39" s="5"/>
      <c r="H39" s="5"/>
      <c r="I39" s="4"/>
      <c r="J39" s="4"/>
      <c r="K39" s="4" t="str">
        <f>IF(U39*V39=0,$S$15,VLOOKUP(V39,Lookups!$D$4:$J$8,'Design Phase'!U39+2))</f>
        <v>Select L  &amp; C</v>
      </c>
      <c r="L39" s="4"/>
      <c r="M39" s="5"/>
      <c r="N39" s="5"/>
      <c r="P39" s="13">
        <f>IF(D39=Lookups!$B$4,1,IF(D39=Lookups!$B$5,2,IF(D39=Lookups!$B$6,3,IF(D39=Lookups!$B$7,4,IF(D39=Lookups!$B$8,5,0)))))</f>
        <v>0</v>
      </c>
      <c r="Q39" s="13">
        <f>IF(E39=Lookups!$C$4,1,IF(E39=Lookups!$C$5,2,IF(E39=Lookups!$C$6,3,IF(E39=Lookups!$C$7,4,IF(E39=Lookups!$C$8,5,0)))))</f>
        <v>0</v>
      </c>
      <c r="U39" s="13">
        <f>IF(I39=Lookups!$B$4,1,IF(I39=Lookups!$B$5,2,IF(I39=Lookups!$B$6,3,IF(I39=Lookups!$B$7,4,IF(I39=Lookups!$B$8,5,0)))))</f>
        <v>0</v>
      </c>
      <c r="V39" s="13">
        <f>IF(J39=Lookups!$C$4,1,IF(J39=Lookups!$C$5,2,IF(J39=Lookups!$C$6,3,IF(J39=Lookups!$C$7,4,IF(J39=Lookups!$C$8,5,0)))))</f>
        <v>0</v>
      </c>
    </row>
    <row r="40" spans="2:22" ht="29" x14ac:dyDescent="0.35">
      <c r="B40" s="31"/>
      <c r="C40" s="8" t="s">
        <v>111</v>
      </c>
      <c r="D40" s="4"/>
      <c r="E40" s="4"/>
      <c r="F40" s="4" t="str">
        <f>IF(P40*Q40=0,$S$15,VLOOKUP(Q40,Lookups!$D$4:$J$8,'Design Phase'!P40+2))</f>
        <v>Select L  &amp; C</v>
      </c>
      <c r="G40" s="5"/>
      <c r="H40" s="5"/>
      <c r="I40" s="4"/>
      <c r="J40" s="4"/>
      <c r="K40" s="4" t="str">
        <f>IF(U40*V40=0,$S$15,VLOOKUP(V40,Lookups!$D$4:$J$8,'Design Phase'!U40+2))</f>
        <v>Select L  &amp; C</v>
      </c>
      <c r="L40" s="4"/>
      <c r="M40" s="5"/>
      <c r="N40" s="5"/>
      <c r="P40" s="13">
        <f>IF(D40=Lookups!$B$4,1,IF(D40=Lookups!$B$5,2,IF(D40=Lookups!$B$6,3,IF(D40=Lookups!$B$7,4,IF(D40=Lookups!$B$8,5,0)))))</f>
        <v>0</v>
      </c>
      <c r="Q40" s="13">
        <f>IF(E40=Lookups!$C$4,1,IF(E40=Lookups!$C$5,2,IF(E40=Lookups!$C$6,3,IF(E40=Lookups!$C$7,4,IF(E40=Lookups!$C$8,5,0)))))</f>
        <v>0</v>
      </c>
      <c r="U40" s="13">
        <f>IF(I40=Lookups!$B$4,1,IF(I40=Lookups!$B$5,2,IF(I40=Lookups!$B$6,3,IF(I40=Lookups!$B$7,4,IF(I40=Lookups!$B$8,5,0)))))</f>
        <v>0</v>
      </c>
      <c r="V40" s="13">
        <f>IF(J40=Lookups!$C$4,1,IF(J40=Lookups!$C$5,2,IF(J40=Lookups!$C$6,3,IF(J40=Lookups!$C$7,4,IF(J40=Lookups!$C$8,5,0)))))</f>
        <v>0</v>
      </c>
    </row>
    <row r="41" spans="2:22" ht="37" customHeight="1" x14ac:dyDescent="0.35">
      <c r="B41" s="30"/>
      <c r="C41" s="8" t="s">
        <v>113</v>
      </c>
      <c r="D41" s="4"/>
      <c r="E41" s="4"/>
      <c r="F41" s="4" t="str">
        <f>IF(P41*Q41=0,$S$15,VLOOKUP(Q41,Lookups!$D$4:$J$8,'Design Phase'!P41+2))</f>
        <v>Select L  &amp; C</v>
      </c>
      <c r="G41" s="5"/>
      <c r="H41" s="5"/>
      <c r="I41" s="4"/>
      <c r="J41" s="4"/>
      <c r="K41" s="4" t="str">
        <f>IF(U41*V41=0,$S$15,VLOOKUP(V41,Lookups!$D$4:$J$8,'Design Phase'!U41+2))</f>
        <v>Select L  &amp; C</v>
      </c>
      <c r="L41" s="4"/>
      <c r="M41" s="5"/>
      <c r="N41" s="5"/>
      <c r="P41" s="13">
        <f>IF(D41=Lookups!$B$4,1,IF(D41=Lookups!$B$5,2,IF(D41=Lookups!$B$6,3,IF(D41=Lookups!$B$7,4,IF(D41=Lookups!$B$8,5,0)))))</f>
        <v>0</v>
      </c>
      <c r="Q41" s="13">
        <f>IF(E41=Lookups!$C$4,1,IF(E41=Lookups!$C$5,2,IF(E41=Lookups!$C$6,3,IF(E41=Lookups!$C$7,4,IF(E41=Lookups!$C$8,5,0)))))</f>
        <v>0</v>
      </c>
      <c r="U41" s="13">
        <f>IF(I41=Lookups!$B$4,1,IF(I41=Lookups!$B$5,2,IF(I41=Lookups!$B$6,3,IF(I41=Lookups!$B$7,4,IF(I41=Lookups!$B$8,5,0)))))</f>
        <v>0</v>
      </c>
      <c r="V41" s="13">
        <f>IF(J41=Lookups!$C$4,1,IF(J41=Lookups!$C$5,2,IF(J41=Lookups!$C$6,3,IF(J41=Lookups!$C$7,4,IF(J41=Lookups!$C$8,5,0)))))</f>
        <v>0</v>
      </c>
    </row>
    <row r="42" spans="2:22" ht="43.5" x14ac:dyDescent="0.35">
      <c r="B42" s="29" t="s">
        <v>85</v>
      </c>
      <c r="C42" s="8" t="s">
        <v>86</v>
      </c>
      <c r="D42" s="4"/>
      <c r="E42" s="4"/>
      <c r="F42" s="4" t="str">
        <f>IF(P42*Q42=0,$S$15,VLOOKUP(Q42,Lookups!$D$4:$J$8,'Design Phase'!P42+2))</f>
        <v>Select L  &amp; C</v>
      </c>
      <c r="G42" s="5"/>
      <c r="H42" s="5"/>
      <c r="I42" s="4"/>
      <c r="J42" s="4"/>
      <c r="K42" s="4" t="str">
        <f>IF(U42*V42=0,$S$15,VLOOKUP(V42,Lookups!$D$4:$J$8,'Design Phase'!U42+2))</f>
        <v>Select L  &amp; C</v>
      </c>
      <c r="L42" s="4"/>
      <c r="M42" s="5"/>
      <c r="N42" s="5"/>
      <c r="P42" s="13">
        <f>IF(D42=Lookups!$B$4,1,IF(D42=Lookups!$B$5,2,IF(D42=Lookups!$B$6,3,IF(D42=Lookups!$B$7,4,IF(D42=Lookups!$B$8,5,0)))))</f>
        <v>0</v>
      </c>
      <c r="Q42" s="13">
        <f>IF(E42=Lookups!$C$4,1,IF(E42=Lookups!$C$5,2,IF(E42=Lookups!$C$6,3,IF(E42=Lookups!$C$7,4,IF(E42=Lookups!$C$8,5,0)))))</f>
        <v>0</v>
      </c>
      <c r="U42" s="13">
        <f>IF(I42=Lookups!$B$4,1,IF(I42=Lookups!$B$5,2,IF(I42=Lookups!$B$6,3,IF(I42=Lookups!$B$7,4,IF(I42=Lookups!$B$8,5,0)))))</f>
        <v>0</v>
      </c>
      <c r="V42" s="13">
        <f>IF(J42=Lookups!$C$4,1,IF(J42=Lookups!$C$5,2,IF(J42=Lookups!$C$6,3,IF(J42=Lookups!$C$7,4,IF(J42=Lookups!$C$8,5,0)))))</f>
        <v>0</v>
      </c>
    </row>
    <row r="43" spans="2:22" ht="43.5" x14ac:dyDescent="0.35">
      <c r="B43" s="30"/>
      <c r="C43" s="8" t="s">
        <v>87</v>
      </c>
      <c r="D43" s="4"/>
      <c r="E43" s="4"/>
      <c r="F43" s="4" t="str">
        <f>IF(P43*Q43=0,$S$15,VLOOKUP(Q43,Lookups!$D$4:$J$8,'Design Phase'!P43+2))</f>
        <v>Select L  &amp; C</v>
      </c>
      <c r="G43" s="5"/>
      <c r="H43" s="5"/>
      <c r="I43" s="4"/>
      <c r="J43" s="4"/>
      <c r="K43" s="4" t="str">
        <f>IF(U43*V43=0,$S$15,VLOOKUP(V43,Lookups!$D$4:$J$8,'Design Phase'!U43+2))</f>
        <v>Select L  &amp; C</v>
      </c>
      <c r="L43" s="4"/>
      <c r="M43" s="5"/>
      <c r="N43" s="5"/>
      <c r="P43" s="13">
        <f>IF(D43=Lookups!$B$4,1,IF(D43=Lookups!$B$5,2,IF(D43=Lookups!$B$6,3,IF(D43=Lookups!$B$7,4,IF(D43=Lookups!$B$8,5,0)))))</f>
        <v>0</v>
      </c>
      <c r="Q43" s="13">
        <f>IF(E43=Lookups!$C$4,1,IF(E43=Lookups!$C$5,2,IF(E43=Lookups!$C$6,3,IF(E43=Lookups!$C$7,4,IF(E43=Lookups!$C$8,5,0)))))</f>
        <v>0</v>
      </c>
      <c r="U43" s="13">
        <f>IF(I43=Lookups!$B$4,1,IF(I43=Lookups!$B$5,2,IF(I43=Lookups!$B$6,3,IF(I43=Lookups!$B$7,4,IF(I43=Lookups!$B$8,5,0)))))</f>
        <v>0</v>
      </c>
      <c r="V43" s="13">
        <f>IF(J43=Lookups!$C$4,1,IF(J43=Lookups!$C$5,2,IF(J43=Lookups!$C$6,3,IF(J43=Lookups!$C$7,4,IF(J43=Lookups!$C$8,5,0)))))</f>
        <v>0</v>
      </c>
    </row>
    <row r="44" spans="2:22" ht="29" x14ac:dyDescent="0.35">
      <c r="B44" s="29" t="s">
        <v>82</v>
      </c>
      <c r="C44" s="8" t="s">
        <v>88</v>
      </c>
      <c r="D44" s="4"/>
      <c r="E44" s="4"/>
      <c r="F44" s="4" t="str">
        <f>IF(P44*Q44=0,$S$15,VLOOKUP(Q44,Lookups!$D$4:$J$8,'Design Phase'!P44+2))</f>
        <v>Select L  &amp; C</v>
      </c>
      <c r="G44" s="5"/>
      <c r="H44" s="5"/>
      <c r="I44" s="4"/>
      <c r="J44" s="4"/>
      <c r="K44" s="4" t="str">
        <f>IF(U44*V44=0,$S$15,VLOOKUP(V44,Lookups!$D$4:$J$8,'Design Phase'!U44+2))</f>
        <v>Select L  &amp; C</v>
      </c>
      <c r="L44" s="4"/>
      <c r="M44" s="5"/>
      <c r="N44" s="5"/>
      <c r="P44" s="13">
        <f>IF(D44=Lookups!$B$4,1,IF(D44=Lookups!$B$5,2,IF(D44=Lookups!$B$6,3,IF(D44=Lookups!$B$7,4,IF(D44=Lookups!$B$8,5,0)))))</f>
        <v>0</v>
      </c>
      <c r="Q44" s="13">
        <f>IF(E44=Lookups!$C$4,1,IF(E44=Lookups!$C$5,2,IF(E44=Lookups!$C$6,3,IF(E44=Lookups!$C$7,4,IF(E44=Lookups!$C$8,5,0)))))</f>
        <v>0</v>
      </c>
      <c r="U44" s="13">
        <f>IF(I44=Lookups!$B$4,1,IF(I44=Lookups!$B$5,2,IF(I44=Lookups!$B$6,3,IF(I44=Lookups!$B$7,4,IF(I44=Lookups!$B$8,5,0)))))</f>
        <v>0</v>
      </c>
      <c r="V44" s="13">
        <f>IF(J44=Lookups!$C$4,1,IF(J44=Lookups!$C$5,2,IF(J44=Lookups!$C$6,3,IF(J44=Lookups!$C$7,4,IF(J44=Lookups!$C$8,5,0)))))</f>
        <v>0</v>
      </c>
    </row>
    <row r="45" spans="2:22" ht="72.5" x14ac:dyDescent="0.35">
      <c r="B45" s="30"/>
      <c r="C45" s="8" t="s">
        <v>89</v>
      </c>
      <c r="D45" s="4"/>
      <c r="E45" s="4"/>
      <c r="F45" s="4" t="str">
        <f>IF(P45*Q45=0,$S$15,VLOOKUP(Q45,Lookups!$D$4:$J$8,'Design Phase'!P45+2))</f>
        <v>Select L  &amp; C</v>
      </c>
      <c r="G45" s="5"/>
      <c r="H45" s="5"/>
      <c r="I45" s="4"/>
      <c r="J45" s="4"/>
      <c r="K45" s="4" t="str">
        <f>IF(U45*V45=0,$S$15,VLOOKUP(V45,Lookups!$D$4:$J$8,'Design Phase'!U45+2))</f>
        <v>Select L  &amp; C</v>
      </c>
      <c r="L45" s="18"/>
      <c r="M45" s="5"/>
      <c r="N45" s="5"/>
      <c r="P45" s="13">
        <f>IF(D45=Lookups!$B$4,1,IF(D45=Lookups!$B$5,2,IF(D45=Lookups!$B$6,3,IF(D45=Lookups!$B$7,4,IF(D45=Lookups!$B$8,5,0)))))</f>
        <v>0</v>
      </c>
      <c r="Q45" s="13">
        <f>IF(E45=Lookups!$C$4,1,IF(E45=Lookups!$C$5,2,IF(E45=Lookups!$C$6,3,IF(E45=Lookups!$C$7,4,IF(E45=Lookups!$C$8,5,0)))))</f>
        <v>0</v>
      </c>
      <c r="U45" s="13">
        <f>IF(I45=Lookups!$B$4,1,IF(I45=Lookups!$B$5,2,IF(I45=Lookups!$B$6,3,IF(I45=Lookups!$B$7,4,IF(I45=Lookups!$B$8,5,0)))))</f>
        <v>0</v>
      </c>
      <c r="V45" s="13">
        <f>IF(J45=Lookups!$C$4,1,IF(J45=Lookups!$C$5,2,IF(J45=Lookups!$C$6,3,IF(J45=Lookups!$C$7,4,IF(J45=Lookups!$C$8,5,0)))))</f>
        <v>0</v>
      </c>
    </row>
    <row r="46" spans="2:22" x14ac:dyDescent="0.35">
      <c r="B46" s="43" t="s">
        <v>150</v>
      </c>
      <c r="C46" s="44"/>
      <c r="D46" s="44"/>
      <c r="E46" s="44"/>
      <c r="F46" s="44"/>
      <c r="G46" s="44"/>
      <c r="H46" s="44"/>
      <c r="I46" s="44"/>
      <c r="J46" s="44"/>
      <c r="K46" s="44"/>
      <c r="L46" s="44"/>
      <c r="M46" s="44"/>
      <c r="N46" s="45"/>
    </row>
    <row r="47" spans="2:22" ht="43.5" x14ac:dyDescent="0.35">
      <c r="B47" s="21" t="s">
        <v>175</v>
      </c>
      <c r="C47" s="8" t="s">
        <v>176</v>
      </c>
      <c r="D47" s="4"/>
      <c r="E47" s="4"/>
      <c r="F47" s="4" t="str">
        <f>IF(P47*Q47=0,$S$15,VLOOKUP(Q47,Lookups!$D$4:$J$8,'Design Phase'!P47+2))</f>
        <v>Select L  &amp; C</v>
      </c>
      <c r="G47" s="5"/>
      <c r="H47" s="5"/>
      <c r="I47" s="4"/>
      <c r="J47" s="4"/>
      <c r="K47" s="4" t="str">
        <f>IF(U47*V47=0,$S$15,VLOOKUP(V47,Lookups!$D$4:$J$8,'Design Phase'!U47+2))</f>
        <v>Select L  &amp; C</v>
      </c>
      <c r="L47" s="11"/>
      <c r="M47" s="10"/>
      <c r="N47" s="10"/>
      <c r="P47" s="13">
        <f>IF(D47=Lookups!$B$4,1,IF(D47=Lookups!$B$5,2,IF(D47=Lookups!$B$6,3,IF(D47=Lookups!$B$7,4,IF(D47=Lookups!$B$8,5,0)))))</f>
        <v>0</v>
      </c>
      <c r="Q47" s="13">
        <f>IF(E47=Lookups!$C$4,1,IF(E47=Lookups!$C$5,2,IF(E47=Lookups!$C$6,3,IF(E47=Lookups!$C$7,4,IF(E47=Lookups!$C$8,5,0)))))</f>
        <v>0</v>
      </c>
      <c r="S47" t="s">
        <v>65</v>
      </c>
      <c r="U47" s="13">
        <f>IF(I47=Lookups!$B$4,1,IF(I47=Lookups!$B$5,2,IF(I47=Lookups!$B$6,3,IF(I47=Lookups!$B$7,4,IF(I47=Lookups!$B$8,5,0)))))</f>
        <v>0</v>
      </c>
      <c r="V47" s="13">
        <f>IF(J47=Lookups!$C$4,1,IF(J47=Lookups!$C$5,2,IF(J47=Lookups!$C$6,3,IF(J47=Lookups!$C$7,4,IF(J47=Lookups!$C$8,5,0)))))</f>
        <v>0</v>
      </c>
    </row>
    <row r="48" spans="2:22" x14ac:dyDescent="0.35">
      <c r="B48" s="27" t="s">
        <v>36</v>
      </c>
      <c r="C48" s="35"/>
      <c r="D48" s="35"/>
      <c r="E48" s="35"/>
      <c r="F48" s="35"/>
      <c r="G48" s="35"/>
      <c r="H48" s="35"/>
      <c r="I48" s="35"/>
      <c r="J48" s="35"/>
      <c r="K48" s="35"/>
      <c r="L48" s="35"/>
      <c r="M48" s="35"/>
      <c r="N48" s="28"/>
      <c r="P48" s="13">
        <f>IF(D48=Lookups!$B$4,1,IF(D48=Lookups!$B$5,2,IF(D48=Lookups!$B$6,3,IF(D48=Lookups!$B$7,4,IF(D48=Lookups!$B$8,5,0)))))</f>
        <v>0</v>
      </c>
      <c r="Q48" s="13">
        <f>IF(E48=Lookups!$C$4,1,IF(E48=Lookups!$C$5,2,IF(E48=Lookups!$C$6,3,IF(E48=Lookups!$C$7,4,IF(E48=Lookups!$C$8,5,0)))))</f>
        <v>0</v>
      </c>
      <c r="U48" s="13">
        <f>IF(I48=Lookups!$B$4,1,IF(I48=Lookups!$B$5,2,IF(I48=Lookups!$B$6,3,IF(I48=Lookups!$B$7,4,IF(I48=Lookups!$B$8,5,0)))))</f>
        <v>0</v>
      </c>
      <c r="V48" s="13">
        <f>IF(J48=Lookups!$C$4,1,IF(J48=Lookups!$C$5,2,IF(J48=Lookups!$C$6,3,IF(J48=Lookups!$C$7,4,IF(J48=Lookups!$C$8,5,0)))))</f>
        <v>0</v>
      </c>
    </row>
    <row r="49" spans="2:22" x14ac:dyDescent="0.35">
      <c r="B49" s="43" t="s">
        <v>149</v>
      </c>
      <c r="C49" s="44"/>
      <c r="D49" s="44"/>
      <c r="E49" s="44"/>
      <c r="F49" s="44"/>
      <c r="G49" s="44"/>
      <c r="H49" s="44"/>
      <c r="I49" s="44"/>
      <c r="J49" s="44"/>
      <c r="K49" s="44"/>
      <c r="L49" s="44"/>
      <c r="M49" s="44"/>
      <c r="N49" s="45"/>
    </row>
    <row r="50" spans="2:22" ht="87" x14ac:dyDescent="0.35">
      <c r="B50" s="17" t="s">
        <v>98</v>
      </c>
      <c r="C50" s="8" t="s">
        <v>99</v>
      </c>
      <c r="D50" s="4"/>
      <c r="E50" s="4"/>
      <c r="F50" s="4" t="str">
        <f>IF(P50*Q50=0,$S$15,VLOOKUP(Q50,Lookups!$D$4:$J$8,'Design Phase'!P50+2))</f>
        <v>Select L  &amp; C</v>
      </c>
      <c r="G50" s="5"/>
      <c r="H50" s="5"/>
      <c r="I50" s="4"/>
      <c r="J50" s="4"/>
      <c r="K50" s="4" t="str">
        <f>IF(U50*V50=0,$S$15,VLOOKUP(V50,Lookups!$D$4:$J$8,'Design Phase'!U50+2))</f>
        <v>Select L  &amp; C</v>
      </c>
      <c r="L50" s="4"/>
      <c r="M50" s="5"/>
      <c r="N50" s="5"/>
      <c r="P50" s="13">
        <f>IF(D50=Lookups!$B$4,1,IF(D50=Lookups!$B$5,2,IF(D50=Lookups!$B$6,3,IF(D50=Lookups!$B$7,4,IF(D50=Lookups!$B$8,5,0)))))</f>
        <v>0</v>
      </c>
      <c r="Q50" s="13">
        <f>IF(E50=Lookups!$C$4,1,IF(E50=Lookups!$C$5,2,IF(E50=Lookups!$C$6,3,IF(E50=Lookups!$C$7,4,IF(E50=Lookups!$C$8,5,0)))))</f>
        <v>0</v>
      </c>
      <c r="U50" s="13">
        <f>IF(I50=Lookups!$B$4,1,IF(I50=Lookups!$B$5,2,IF(I50=Lookups!$B$6,3,IF(I50=Lookups!$B$7,4,IF(I50=Lookups!$B$8,5,0)))))</f>
        <v>0</v>
      </c>
      <c r="V50" s="13">
        <f>IF(J50=Lookups!$C$4,1,IF(J50=Lookups!$C$5,2,IF(J50=Lookups!$C$6,3,IF(J50=Lookups!$C$7,4,IF(J50=Lookups!$C$8,5,0)))))</f>
        <v>0</v>
      </c>
    </row>
    <row r="51" spans="2:22" x14ac:dyDescent="0.35">
      <c r="B51" s="43" t="s">
        <v>150</v>
      </c>
      <c r="C51" s="44"/>
      <c r="D51" s="44"/>
      <c r="E51" s="44"/>
      <c r="F51" s="44"/>
      <c r="G51" s="44"/>
      <c r="H51" s="44"/>
      <c r="I51" s="44"/>
      <c r="J51" s="44"/>
      <c r="K51" s="44"/>
      <c r="L51" s="44"/>
      <c r="M51" s="44"/>
      <c r="N51" s="45"/>
    </row>
    <row r="52" spans="2:22" ht="116" x14ac:dyDescent="0.35">
      <c r="B52" s="21" t="s">
        <v>163</v>
      </c>
      <c r="C52" s="8" t="s">
        <v>164</v>
      </c>
      <c r="D52" s="4"/>
      <c r="E52" s="4"/>
      <c r="F52" s="4" t="str">
        <f>IF(P52*Q52=0,$S$15,VLOOKUP(Q52,Lookups!$D$4:$J$8,'Design Phase'!P52+2))</f>
        <v>Select L  &amp; C</v>
      </c>
      <c r="G52" s="5"/>
      <c r="H52" s="5"/>
      <c r="I52" s="4"/>
      <c r="J52" s="4"/>
      <c r="K52" s="4" t="str">
        <f>IF(U52*V52=0,$S$15,VLOOKUP(V52,Lookups!$D$4:$J$8,'Design Phase'!U52+2))</f>
        <v>Select L  &amp; C</v>
      </c>
      <c r="L52" s="11"/>
      <c r="M52" s="10"/>
      <c r="N52" s="10"/>
      <c r="P52" s="13">
        <f>IF(D52=Lookups!$B$4,1,IF(D52=Lookups!$B$5,2,IF(D52=Lookups!$B$6,3,IF(D52=Lookups!$B$7,4,IF(D52=Lookups!$B$8,5,0)))))</f>
        <v>0</v>
      </c>
      <c r="Q52" s="13">
        <f>IF(E52=Lookups!$C$4,1,IF(E52=Lookups!$C$5,2,IF(E52=Lookups!$C$6,3,IF(E52=Lookups!$C$7,4,IF(E52=Lookups!$C$8,5,0)))))</f>
        <v>0</v>
      </c>
      <c r="S52" t="s">
        <v>65</v>
      </c>
      <c r="U52" s="13">
        <f>IF(I52=Lookups!$B$4,1,IF(I52=Lookups!$B$5,2,IF(I52=Lookups!$B$6,3,IF(I52=Lookups!$B$7,4,IF(I52=Lookups!$B$8,5,0)))))</f>
        <v>0</v>
      </c>
      <c r="V52" s="13">
        <f>IF(J52=Lookups!$C$4,1,IF(J52=Lookups!$C$5,2,IF(J52=Lookups!$C$6,3,IF(J52=Lookups!$C$7,4,IF(J52=Lookups!$C$8,5,0)))))</f>
        <v>0</v>
      </c>
    </row>
    <row r="53" spans="2:22" x14ac:dyDescent="0.35">
      <c r="B53" s="27" t="s">
        <v>94</v>
      </c>
      <c r="C53" s="35"/>
      <c r="D53" s="35"/>
      <c r="E53" s="35"/>
      <c r="F53" s="35"/>
      <c r="G53" s="35"/>
      <c r="H53" s="35"/>
      <c r="I53" s="35"/>
      <c r="J53" s="35"/>
      <c r="K53" s="35"/>
      <c r="L53" s="35"/>
      <c r="M53" s="35"/>
      <c r="N53" s="28"/>
      <c r="P53" s="13">
        <f>IF(D53=Lookups!$B$4,1,IF(D53=Lookups!$B$5,2,IF(D53=Lookups!$B$6,3,IF(D53=Lookups!$B$7,4,IF(D53=Lookups!$B$8,5,0)))))</f>
        <v>0</v>
      </c>
      <c r="Q53" s="13">
        <f>IF(E53=Lookups!$C$4,1,IF(E53=Lookups!$C$5,2,IF(E53=Lookups!$C$6,3,IF(E53=Lookups!$C$7,4,IF(E53=Lookups!$C$8,5,0)))))</f>
        <v>0</v>
      </c>
      <c r="U53" s="13">
        <f>IF(I53=Lookups!$B$4,1,IF(I53=Lookups!$B$5,2,IF(I53=Lookups!$B$6,3,IF(I53=Lookups!$B$7,4,IF(I53=Lookups!$B$8,5,0)))))</f>
        <v>0</v>
      </c>
      <c r="V53" s="13">
        <f>IF(J53=Lookups!$C$4,1,IF(J53=Lookups!$C$5,2,IF(J53=Lookups!$C$6,3,IF(J53=Lookups!$C$7,4,IF(J53=Lookups!$C$8,5,0)))))</f>
        <v>0</v>
      </c>
    </row>
    <row r="54" spans="2:22" x14ac:dyDescent="0.35">
      <c r="B54" s="43" t="s">
        <v>149</v>
      </c>
      <c r="C54" s="44"/>
      <c r="D54" s="44"/>
      <c r="E54" s="44"/>
      <c r="F54" s="44"/>
      <c r="G54" s="44"/>
      <c r="H54" s="44"/>
      <c r="I54" s="44"/>
      <c r="J54" s="44"/>
      <c r="K54" s="44"/>
      <c r="L54" s="44"/>
      <c r="M54" s="44"/>
      <c r="N54" s="45"/>
    </row>
    <row r="55" spans="2:22" ht="43.5" x14ac:dyDescent="0.35">
      <c r="B55" s="17" t="s">
        <v>92</v>
      </c>
      <c r="C55" s="8" t="s">
        <v>90</v>
      </c>
      <c r="D55" s="4"/>
      <c r="E55" s="4"/>
      <c r="F55" s="4" t="str">
        <f>IF(P55*Q55=0,$S$15,VLOOKUP(Q55,Lookups!$D$4:$J$8,'Design Phase'!P55+2))</f>
        <v>Select L  &amp; C</v>
      </c>
      <c r="G55" s="5"/>
      <c r="H55" s="5"/>
      <c r="I55" s="4"/>
      <c r="J55" s="4"/>
      <c r="K55" s="4" t="str">
        <f>IF(U55*V55=0,$S$15,VLOOKUP(V55,Lookups!$D$4:$J$8,'Design Phase'!U55+2))</f>
        <v>Select L  &amp; C</v>
      </c>
      <c r="L55" s="4"/>
      <c r="M55" s="5"/>
      <c r="N55" s="5"/>
      <c r="P55" s="13">
        <f>IF(D55=Lookups!$B$4,1,IF(D55=Lookups!$B$5,2,IF(D55=Lookups!$B$6,3,IF(D55=Lookups!$B$7,4,IF(D55=Lookups!$B$8,5,0)))))</f>
        <v>0</v>
      </c>
      <c r="Q55" s="13">
        <f>IF(E55=Lookups!$C$4,1,IF(E55=Lookups!$C$5,2,IF(E55=Lookups!$C$6,3,IF(E55=Lookups!$C$7,4,IF(E55=Lookups!$C$8,5,0)))))</f>
        <v>0</v>
      </c>
      <c r="U55" s="13">
        <f>IF(I55=Lookups!$B$4,1,IF(I55=Lookups!$B$5,2,IF(I55=Lookups!$B$6,3,IF(I55=Lookups!$B$7,4,IF(I55=Lookups!$B$8,5,0)))))</f>
        <v>0</v>
      </c>
      <c r="V55" s="13">
        <f>IF(J55=Lookups!$C$4,1,IF(J55=Lookups!$C$5,2,IF(J55=Lookups!$C$6,3,IF(J55=Lookups!$C$7,4,IF(J55=Lookups!$C$8,5,0)))))</f>
        <v>0</v>
      </c>
    </row>
    <row r="56" spans="2:22" ht="72.5" x14ac:dyDescent="0.35">
      <c r="B56" s="8" t="s">
        <v>93</v>
      </c>
      <c r="C56" s="8" t="s">
        <v>95</v>
      </c>
      <c r="D56" s="4"/>
      <c r="E56" s="4"/>
      <c r="F56" s="4" t="str">
        <f>IF(P56*Q56=0,$S$15,VLOOKUP(Q56,Lookups!$D$4:$J$8,'Design Phase'!P56+2))</f>
        <v>Select L  &amp; C</v>
      </c>
      <c r="G56" s="5"/>
      <c r="H56" s="5"/>
      <c r="I56" s="4"/>
      <c r="J56" s="4"/>
      <c r="K56" s="4" t="str">
        <f>IF(U56*V56=0,$S$15,VLOOKUP(V56,Lookups!$D$4:$J$8,'Design Phase'!U56+2))</f>
        <v>Select L  &amp; C</v>
      </c>
      <c r="L56" s="4"/>
      <c r="M56" s="5"/>
      <c r="N56" s="5"/>
      <c r="P56" s="13">
        <f>IF(D56=Lookups!$B$4,1,IF(D56=Lookups!$B$5,2,IF(D56=Lookups!$B$6,3,IF(D56=Lookups!$B$7,4,IF(D56=Lookups!$B$8,5,0)))))</f>
        <v>0</v>
      </c>
      <c r="Q56" s="13">
        <f>IF(E56=Lookups!$C$4,1,IF(E56=Lookups!$C$5,2,IF(E56=Lookups!$C$6,3,IF(E56=Lookups!$C$7,4,IF(E56=Lookups!$C$8,5,0)))))</f>
        <v>0</v>
      </c>
      <c r="U56" s="13">
        <f>IF(I56=Lookups!$B$4,1,IF(I56=Lookups!$B$5,2,IF(I56=Lookups!$B$6,3,IF(I56=Lookups!$B$7,4,IF(I56=Lookups!$B$8,5,0)))))</f>
        <v>0</v>
      </c>
      <c r="V56" s="13">
        <f>IF(J56=Lookups!$C$4,1,IF(J56=Lookups!$C$5,2,IF(J56=Lookups!$C$6,3,IF(J56=Lookups!$C$7,4,IF(J56=Lookups!$C$8,5,0)))))</f>
        <v>0</v>
      </c>
    </row>
    <row r="57" spans="2:22" ht="43.5" x14ac:dyDescent="0.35">
      <c r="B57" s="16" t="s">
        <v>97</v>
      </c>
      <c r="C57" s="8" t="s">
        <v>96</v>
      </c>
      <c r="D57" s="4"/>
      <c r="E57" s="4"/>
      <c r="F57" s="4" t="str">
        <f>IF(P57*Q57=0,$S$15,VLOOKUP(Q57,Lookups!$D$4:$J$8,'Design Phase'!P57+2))</f>
        <v>Select L  &amp; C</v>
      </c>
      <c r="G57" s="5"/>
      <c r="H57" s="5"/>
      <c r="I57" s="4"/>
      <c r="J57" s="4"/>
      <c r="K57" s="4" t="str">
        <f>IF(U57*V57=0,$S$15,VLOOKUP(V57,Lookups!$D$4:$J$8,'Design Phase'!U57+2))</f>
        <v>Select L  &amp; C</v>
      </c>
      <c r="L57" s="4"/>
      <c r="M57" s="5"/>
      <c r="N57" s="5"/>
      <c r="P57" s="13">
        <f>IF(D57=Lookups!$B$4,1,IF(D57=Lookups!$B$5,2,IF(D57=Lookups!$B$6,3,IF(D57=Lookups!$B$7,4,IF(D57=Lookups!$B$8,5,0)))))</f>
        <v>0</v>
      </c>
      <c r="Q57" s="13">
        <f>IF(E57=Lookups!$C$4,1,IF(E57=Lookups!$C$5,2,IF(E57=Lookups!$C$6,3,IF(E57=Lookups!$C$7,4,IF(E57=Lookups!$C$8,5,0)))))</f>
        <v>0</v>
      </c>
      <c r="U57" s="13">
        <f>IF(I57=Lookups!$B$4,1,IF(I57=Lookups!$B$5,2,IF(I57=Lookups!$B$6,3,IF(I57=Lookups!$B$7,4,IF(I57=Lookups!$B$8,5,0)))))</f>
        <v>0</v>
      </c>
      <c r="V57" s="13">
        <f>IF(J57=Lookups!$C$4,1,IF(J57=Lookups!$C$5,2,IF(J57=Lookups!$C$6,3,IF(J57=Lookups!$C$7,4,IF(J57=Lookups!$C$8,5,0)))))</f>
        <v>0</v>
      </c>
    </row>
    <row r="58" spans="2:22" x14ac:dyDescent="0.35">
      <c r="B58" s="43" t="s">
        <v>150</v>
      </c>
      <c r="C58" s="44"/>
      <c r="D58" s="44"/>
      <c r="E58" s="44"/>
      <c r="F58" s="44"/>
      <c r="G58" s="44"/>
      <c r="H58" s="44"/>
      <c r="I58" s="44"/>
      <c r="J58" s="44"/>
      <c r="K58" s="44"/>
      <c r="L58" s="44"/>
      <c r="M58" s="44"/>
      <c r="N58" s="45"/>
    </row>
    <row r="59" spans="2:22" ht="72.5" x14ac:dyDescent="0.35">
      <c r="B59" s="8" t="s">
        <v>192</v>
      </c>
      <c r="C59" s="8" t="s">
        <v>193</v>
      </c>
      <c r="D59" s="4"/>
      <c r="E59" s="4"/>
      <c r="F59" s="4" t="str">
        <f>IF(P59*Q59=0,$S$15,VLOOKUP(Q59,Lookups!$D$4:$J$8,'Design Phase'!P59+2))</f>
        <v>Select L  &amp; C</v>
      </c>
      <c r="G59" s="5"/>
      <c r="H59" s="5"/>
      <c r="I59" s="4"/>
      <c r="J59" s="4"/>
      <c r="K59" s="4" t="str">
        <f>IF(U59*V59=0,$S$15,VLOOKUP(V59,Lookups!$D$4:$J$8,'Design Phase'!U59+2))</f>
        <v>Select L  &amp; C</v>
      </c>
      <c r="L59" s="4"/>
      <c r="M59" s="5"/>
      <c r="N59" s="5"/>
      <c r="P59" s="13">
        <f>IF(D59=Lookups!$B$4,1,IF(D59=Lookups!$B$5,2,IF(D59=Lookups!$B$6,3,IF(D59=Lookups!$B$7,4,IF(D59=Lookups!$B$8,5,0)))))</f>
        <v>0</v>
      </c>
      <c r="Q59" s="13">
        <f>IF(E59=Lookups!$C$4,1,IF(E59=Lookups!$C$5,2,IF(E59=Lookups!$C$6,3,IF(E59=Lookups!$C$7,4,IF(E59=Lookups!$C$8,5,0)))))</f>
        <v>0</v>
      </c>
      <c r="U59" s="13">
        <f>IF(I59=Lookups!$B$4,1,IF(I59=Lookups!$B$5,2,IF(I59=Lookups!$B$6,3,IF(I59=Lookups!$B$7,4,IF(I59=Lookups!$B$8,5,0)))))</f>
        <v>0</v>
      </c>
      <c r="V59" s="13">
        <f>IF(J59=Lookups!$C$4,1,IF(J59=Lookups!$C$5,2,IF(J59=Lookups!$C$6,3,IF(J59=Lookups!$C$7,4,IF(J59=Lookups!$C$8,5,0)))))</f>
        <v>0</v>
      </c>
    </row>
    <row r="60" spans="2:22" ht="58" x14ac:dyDescent="0.35">
      <c r="B60" s="8" t="s">
        <v>194</v>
      </c>
      <c r="C60" s="8" t="s">
        <v>195</v>
      </c>
      <c r="D60" s="4"/>
      <c r="E60" s="4"/>
      <c r="F60" s="4" t="str">
        <f>IF(P60*Q60=0,$S$15,VLOOKUP(Q60,Lookups!$D$4:$J$8,'Design Phase'!P60+2))</f>
        <v>Select L  &amp; C</v>
      </c>
      <c r="G60" s="5"/>
      <c r="H60" s="5"/>
      <c r="I60" s="4"/>
      <c r="J60" s="4"/>
      <c r="K60" s="4" t="str">
        <f>IF(U60*V60=0,$S$15,VLOOKUP(V60,Lookups!$D$4:$J$8,'Design Phase'!U60+2))</f>
        <v>Select L  &amp; C</v>
      </c>
      <c r="L60" s="4"/>
      <c r="M60" s="5"/>
      <c r="N60" s="5"/>
    </row>
    <row r="61" spans="2:22" ht="58" x14ac:dyDescent="0.35">
      <c r="B61" s="21" t="s">
        <v>186</v>
      </c>
      <c r="C61" s="8" t="s">
        <v>24</v>
      </c>
      <c r="D61" s="4"/>
      <c r="E61" s="4"/>
      <c r="F61" s="4" t="str">
        <f>IF(P61*Q61=0,$S$15,VLOOKUP(Q61,Lookups!$D$4:$J$8,'Design Phase'!P61+2))</f>
        <v>Select L  &amp; C</v>
      </c>
      <c r="G61" s="5"/>
      <c r="H61" s="5"/>
      <c r="I61" s="4"/>
      <c r="J61" s="4"/>
      <c r="K61" s="4" t="str">
        <f>IF(U61*V61=0,$S$15,VLOOKUP(V61,Lookups!$D$4:$J$8,'Design Phase'!U61+2))</f>
        <v>Select L  &amp; C</v>
      </c>
      <c r="L61" s="11"/>
      <c r="M61" s="10"/>
      <c r="N61" s="10"/>
      <c r="P61" s="13">
        <f>IF(D61=Lookups!$B$4,1,IF(D61=Lookups!$B$5,2,IF(D61=Lookups!$B$6,3,IF(D61=Lookups!$B$7,4,IF(D61=Lookups!$B$8,5,0)))))</f>
        <v>0</v>
      </c>
      <c r="Q61" s="13">
        <f>IF(E61=Lookups!$C$4,1,IF(E61=Lookups!$C$5,2,IF(E61=Lookups!$C$6,3,IF(E61=Lookups!$C$7,4,IF(E61=Lookups!$C$8,5,0)))))</f>
        <v>0</v>
      </c>
      <c r="S61" t="s">
        <v>65</v>
      </c>
      <c r="U61" s="13">
        <f>IF(I61=Lookups!$B$4,1,IF(I61=Lookups!$B$5,2,IF(I61=Lookups!$B$6,3,IF(I61=Lookups!$B$7,4,IF(I61=Lookups!$B$8,5,0)))))</f>
        <v>0</v>
      </c>
      <c r="V61" s="13">
        <f>IF(J61=Lookups!$C$4,1,IF(J61=Lookups!$C$5,2,IF(J61=Lookups!$C$6,3,IF(J61=Lookups!$C$7,4,IF(J61=Lookups!$C$8,5,0)))))</f>
        <v>0</v>
      </c>
    </row>
    <row r="62" spans="2:22" s="1" customFormat="1" ht="14.5" customHeight="1" x14ac:dyDescent="0.35">
      <c r="B62" s="27" t="s">
        <v>37</v>
      </c>
      <c r="C62" s="35"/>
      <c r="D62" s="35"/>
      <c r="E62" s="35"/>
      <c r="F62" s="35"/>
      <c r="G62" s="35"/>
      <c r="H62" s="35"/>
      <c r="I62" s="35"/>
      <c r="J62" s="35"/>
      <c r="K62" s="35"/>
      <c r="L62" s="35"/>
      <c r="M62" s="35"/>
      <c r="N62" s="28"/>
      <c r="P62" s="13">
        <f>IF(D62=Lookups!$B$4,1,IF(D62=Lookups!$B$5,2,IF(D62=Lookups!$B$6,3,IF(D62=Lookups!$B$7,4,IF(D62=Lookups!$B$8,5,0)))))</f>
        <v>0</v>
      </c>
      <c r="Q62" s="13">
        <f>IF(E62=Lookups!$C$4,1,IF(E62=Lookups!$C$5,2,IF(E62=Lookups!$C$6,3,IF(E62=Lookups!$C$7,4,IF(E62=Lookups!$C$8,5,0)))))</f>
        <v>0</v>
      </c>
      <c r="U62" s="13">
        <f>IF(I62=Lookups!$B$4,1,IF(I62=Lookups!$B$5,2,IF(I62=Lookups!$B$6,3,IF(I62=Lookups!$B$7,4,IF(I62=Lookups!$B$8,5,0)))))</f>
        <v>0</v>
      </c>
      <c r="V62" s="13">
        <f>IF(J62=Lookups!$C$4,1,IF(J62=Lookups!$C$5,2,IF(J62=Lookups!$C$6,3,IF(J62=Lookups!$C$7,4,IF(J62=Lookups!$C$8,5,0)))))</f>
        <v>0</v>
      </c>
    </row>
    <row r="63" spans="2:22" x14ac:dyDescent="0.35">
      <c r="B63" s="43" t="s">
        <v>149</v>
      </c>
      <c r="C63" s="44"/>
      <c r="D63" s="44"/>
      <c r="E63" s="44"/>
      <c r="F63" s="44"/>
      <c r="G63" s="44"/>
      <c r="H63" s="44"/>
      <c r="I63" s="44"/>
      <c r="J63" s="44"/>
      <c r="K63" s="44"/>
      <c r="L63" s="44"/>
      <c r="M63" s="44"/>
      <c r="N63" s="45"/>
    </row>
    <row r="64" spans="2:22" ht="58" x14ac:dyDescent="0.35">
      <c r="B64" s="17" t="s">
        <v>79</v>
      </c>
      <c r="C64" s="8" t="s">
        <v>83</v>
      </c>
      <c r="D64" s="4"/>
      <c r="E64" s="4"/>
      <c r="F64" s="4" t="str">
        <f>IF(P64*Q64=0,$S$15,VLOOKUP(Q64,Lookups!$D$4:$J$8,'Design Phase'!P64+2))</f>
        <v>Select L  &amp; C</v>
      </c>
      <c r="G64" s="5"/>
      <c r="H64" s="5"/>
      <c r="I64" s="4"/>
      <c r="J64" s="4"/>
      <c r="K64" s="4" t="str">
        <f>IF(U64*V64=0,$S$15,VLOOKUP(V64,Lookups!$D$4:$J$8,'Design Phase'!U64+2))</f>
        <v>Select L  &amp; C</v>
      </c>
      <c r="L64" s="4"/>
      <c r="M64" s="5"/>
      <c r="N64" s="5"/>
      <c r="P64" s="13">
        <f>IF(D64=Lookups!$B$4,1,IF(D64=Lookups!$B$5,2,IF(D64=Lookups!$B$6,3,IF(D64=Lookups!$B$7,4,IF(D64=Lookups!$B$8,5,0)))))</f>
        <v>0</v>
      </c>
      <c r="Q64" s="13">
        <f>IF(E64=Lookups!$C$4,1,IF(E64=Lookups!$C$5,2,IF(E64=Lookups!$C$6,3,IF(E64=Lookups!$C$7,4,IF(E64=Lookups!$C$8,5,0)))))</f>
        <v>0</v>
      </c>
      <c r="U64" s="13">
        <f>IF(I64=Lookups!$B$4,1,IF(I64=Lookups!$B$5,2,IF(I64=Lookups!$B$6,3,IF(I64=Lookups!$B$7,4,IF(I64=Lookups!$B$8,5,0)))))</f>
        <v>0</v>
      </c>
      <c r="V64" s="13">
        <f>IF(J64=Lookups!$C$4,1,IF(J64=Lookups!$C$5,2,IF(J64=Lookups!$C$6,3,IF(J64=Lookups!$C$7,4,IF(J64=Lookups!$C$8,5,0)))))</f>
        <v>0</v>
      </c>
    </row>
    <row r="65" spans="2:22" ht="43.5" x14ac:dyDescent="0.35">
      <c r="B65" s="8" t="s">
        <v>20</v>
      </c>
      <c r="C65" s="8" t="s">
        <v>84</v>
      </c>
      <c r="D65" s="4"/>
      <c r="E65" s="4"/>
      <c r="F65" s="4" t="str">
        <f>IF(P65*Q65=0,$S$15,VLOOKUP(Q65,Lookups!$D$4:$J$8,'Design Phase'!P65+2))</f>
        <v>Select L  &amp; C</v>
      </c>
      <c r="G65" s="5"/>
      <c r="H65" s="5"/>
      <c r="I65" s="4"/>
      <c r="J65" s="4"/>
      <c r="K65" s="4" t="str">
        <f>IF(U65*V65=0,$S$15,VLOOKUP(V65,Lookups!$D$4:$J$8,'Design Phase'!U65+2))</f>
        <v>Select L  &amp; C</v>
      </c>
      <c r="L65" s="4"/>
      <c r="M65" s="5"/>
      <c r="N65" s="5"/>
      <c r="P65" s="13">
        <f>IF(D65=Lookups!$B$4,1,IF(D65=Lookups!$B$5,2,IF(D65=Lookups!$B$6,3,IF(D65=Lookups!$B$7,4,IF(D65=Lookups!$B$8,5,0)))))</f>
        <v>0</v>
      </c>
      <c r="Q65" s="13">
        <f>IF(E65=Lookups!$C$4,1,IF(E65=Lookups!$C$5,2,IF(E65=Lookups!$C$6,3,IF(E65=Lookups!$C$7,4,IF(E65=Lookups!$C$8,5,0)))))</f>
        <v>0</v>
      </c>
      <c r="U65" s="13">
        <f>IF(I65=Lookups!$B$4,1,IF(I65=Lookups!$B$5,2,IF(I65=Lookups!$B$6,3,IF(I65=Lookups!$B$7,4,IF(I65=Lookups!$B$8,5,0)))))</f>
        <v>0</v>
      </c>
      <c r="V65" s="13">
        <f>IF(J65=Lookups!$C$4,1,IF(J65=Lookups!$C$5,2,IF(J65=Lookups!$C$6,3,IF(J65=Lookups!$C$7,4,IF(J65=Lookups!$C$8,5,0)))))</f>
        <v>0</v>
      </c>
    </row>
    <row r="66" spans="2:22" x14ac:dyDescent="0.35">
      <c r="B66" s="27" t="s">
        <v>26</v>
      </c>
      <c r="C66" s="35"/>
      <c r="D66" s="35"/>
      <c r="E66" s="35"/>
      <c r="F66" s="35"/>
      <c r="G66" s="35"/>
      <c r="H66" s="35"/>
      <c r="I66" s="35"/>
      <c r="J66" s="35"/>
      <c r="K66" s="35"/>
      <c r="L66" s="35"/>
      <c r="M66" s="35"/>
      <c r="N66" s="28"/>
      <c r="P66" s="13">
        <f>IF(D66=Lookups!$B$4,1,IF(D66=Lookups!$B$5,2,IF(D66=Lookups!$B$6,3,IF(D66=Lookups!$B$7,4,IF(D66=Lookups!$B$8,5,0)))))</f>
        <v>0</v>
      </c>
      <c r="Q66" s="13">
        <f>IF(E66=Lookups!$C$4,1,IF(E66=Lookups!$C$5,2,IF(E66=Lookups!$C$6,3,IF(E66=Lookups!$C$7,4,IF(E66=Lookups!$C$8,5,0)))))</f>
        <v>0</v>
      </c>
      <c r="U66" s="13">
        <f>IF(I66=Lookups!$B$4,1,IF(I66=Lookups!$B$5,2,IF(I66=Lookups!$B$6,3,IF(I66=Lookups!$B$7,4,IF(I66=Lookups!$B$8,5,0)))))</f>
        <v>0</v>
      </c>
      <c r="V66" s="13">
        <f>IF(J66=Lookups!$C$4,1,IF(J66=Lookups!$C$5,2,IF(J66=Lookups!$C$6,3,IF(J66=Lookups!$C$7,4,IF(J66=Lookups!$C$8,5,0)))))</f>
        <v>0</v>
      </c>
    </row>
    <row r="67" spans="2:22" x14ac:dyDescent="0.35">
      <c r="B67" s="43" t="s">
        <v>149</v>
      </c>
      <c r="C67" s="44"/>
      <c r="D67" s="44"/>
      <c r="E67" s="44"/>
      <c r="F67" s="44"/>
      <c r="G67" s="44"/>
      <c r="H67" s="44"/>
      <c r="I67" s="44"/>
      <c r="J67" s="44"/>
      <c r="K67" s="44"/>
      <c r="L67" s="44"/>
      <c r="M67" s="44"/>
      <c r="N67" s="45"/>
    </row>
    <row r="68" spans="2:22" x14ac:dyDescent="0.35">
      <c r="B68" s="29" t="s">
        <v>116</v>
      </c>
      <c r="C68" s="8" t="s">
        <v>117</v>
      </c>
      <c r="D68" s="4"/>
      <c r="E68" s="4"/>
      <c r="F68" s="4" t="str">
        <f>IF(P68*Q68=0,$S$15,VLOOKUP(Q68,Lookups!$D$4:$J$8,'Design Phase'!P68+2))</f>
        <v>Select L  &amp; C</v>
      </c>
      <c r="G68" s="5"/>
      <c r="H68" s="5"/>
      <c r="I68" s="4"/>
      <c r="J68" s="4"/>
      <c r="K68" s="4" t="str">
        <f>IF(U68*V68=0,$S$15,VLOOKUP(V68,Lookups!$D$4:$J$8,'Design Phase'!U68+2))</f>
        <v>Select L  &amp; C</v>
      </c>
      <c r="L68" s="4"/>
      <c r="M68" s="5"/>
      <c r="N68" s="5"/>
      <c r="P68" s="13">
        <f>IF(D68=Lookups!$B$4,1,IF(D68=Lookups!$B$5,2,IF(D68=Lookups!$B$6,3,IF(D68=Lookups!$B$7,4,IF(D68=Lookups!$B$8,5,0)))))</f>
        <v>0</v>
      </c>
      <c r="Q68" s="13">
        <f>IF(E68=Lookups!$C$4,1,IF(E68=Lookups!$C$5,2,IF(E68=Lookups!$C$6,3,IF(E68=Lookups!$C$7,4,IF(E68=Lookups!$C$8,5,0)))))</f>
        <v>0</v>
      </c>
      <c r="U68" s="13">
        <f>IF(I68=Lookups!$B$4,1,IF(I68=Lookups!$B$5,2,IF(I68=Lookups!$B$6,3,IF(I68=Lookups!$B$7,4,IF(I68=Lookups!$B$8,5,0)))))</f>
        <v>0</v>
      </c>
      <c r="V68" s="13">
        <f>IF(J68=Lookups!$C$4,1,IF(J68=Lookups!$C$5,2,IF(J68=Lookups!$C$6,3,IF(J68=Lookups!$C$7,4,IF(J68=Lookups!$C$8,5,0)))))</f>
        <v>0</v>
      </c>
    </row>
    <row r="69" spans="2:22" ht="43" customHeight="1" x14ac:dyDescent="0.35">
      <c r="B69" s="30"/>
      <c r="C69" s="8" t="s">
        <v>118</v>
      </c>
      <c r="D69" s="4"/>
      <c r="E69" s="4"/>
      <c r="F69" s="4" t="str">
        <f>IF(P69*Q69=0,$S$15,VLOOKUP(Q69,Lookups!$D$4:$J$8,'Design Phase'!P69+2))</f>
        <v>Select L  &amp; C</v>
      </c>
      <c r="G69" s="5"/>
      <c r="H69" s="5"/>
      <c r="I69" s="4"/>
      <c r="J69" s="4"/>
      <c r="K69" s="4" t="str">
        <f>IF(U69*V69=0,$S$15,VLOOKUP(V69,Lookups!$D$4:$J$8,'Design Phase'!U69+2))</f>
        <v>Select L  &amp; C</v>
      </c>
      <c r="L69" s="4"/>
      <c r="M69" s="5"/>
      <c r="N69" s="5"/>
      <c r="P69" s="13">
        <f>IF(D69=Lookups!$B$4,1,IF(D69=Lookups!$B$5,2,IF(D69=Lookups!$B$6,3,IF(D69=Lookups!$B$7,4,IF(D69=Lookups!$B$8,5,0)))))</f>
        <v>0</v>
      </c>
      <c r="Q69" s="13">
        <f>IF(E69=Lookups!$C$4,1,IF(E69=Lookups!$C$5,2,IF(E69=Lookups!$C$6,3,IF(E69=Lookups!$C$7,4,IF(E69=Lookups!$C$8,5,0)))))</f>
        <v>0</v>
      </c>
      <c r="U69" s="13">
        <f>IF(I69=Lookups!$B$4,1,IF(I69=Lookups!$B$5,2,IF(I69=Lookups!$B$6,3,IF(I69=Lookups!$B$7,4,IF(I69=Lookups!$B$8,5,0)))))</f>
        <v>0</v>
      </c>
      <c r="V69" s="13">
        <f>IF(J69=Lookups!$C$4,1,IF(J69=Lookups!$C$5,2,IF(J69=Lookups!$C$6,3,IF(J69=Lookups!$C$7,4,IF(J69=Lookups!$C$8,5,0)))))</f>
        <v>0</v>
      </c>
    </row>
    <row r="70" spans="2:22" x14ac:dyDescent="0.35">
      <c r="B70" s="27" t="s">
        <v>108</v>
      </c>
      <c r="C70" s="35"/>
      <c r="D70" s="35"/>
      <c r="E70" s="35"/>
      <c r="F70" s="35"/>
      <c r="G70" s="35"/>
      <c r="H70" s="35"/>
      <c r="I70" s="35"/>
      <c r="J70" s="35"/>
      <c r="K70" s="35"/>
      <c r="L70" s="35"/>
      <c r="M70" s="35"/>
      <c r="N70" s="28"/>
      <c r="P70" s="13">
        <f>IF(D70=Lookups!$B$4,1,IF(D70=Lookups!$B$5,2,IF(D70=Lookups!$B$6,3,IF(D70=Lookups!$B$7,4,IF(D70=Lookups!$B$8,5,0)))))</f>
        <v>0</v>
      </c>
      <c r="Q70" s="13">
        <f>IF(E70=Lookups!$C$4,1,IF(E70=Lookups!$C$5,2,IF(E70=Lookups!$C$6,3,IF(E70=Lookups!$C$7,4,IF(E70=Lookups!$C$8,5,0)))))</f>
        <v>0</v>
      </c>
      <c r="U70" s="13">
        <f>IF(I70=Lookups!$B$4,1,IF(I70=Lookups!$B$5,2,IF(I70=Lookups!$B$6,3,IF(I70=Lookups!$B$7,4,IF(I70=Lookups!$B$8,5,0)))))</f>
        <v>0</v>
      </c>
      <c r="V70" s="13">
        <f>IF(J70=Lookups!$C$4,1,IF(J70=Lookups!$C$5,2,IF(J70=Lookups!$C$6,3,IF(J70=Lookups!$C$7,4,IF(J70=Lookups!$C$8,5,0)))))</f>
        <v>0</v>
      </c>
    </row>
    <row r="71" spans="2:22" x14ac:dyDescent="0.35">
      <c r="B71" s="43" t="s">
        <v>149</v>
      </c>
      <c r="C71" s="44"/>
      <c r="D71" s="44"/>
      <c r="E71" s="44"/>
      <c r="F71" s="44"/>
      <c r="G71" s="44"/>
      <c r="H71" s="44"/>
      <c r="I71" s="44"/>
      <c r="J71" s="44"/>
      <c r="K71" s="44"/>
      <c r="L71" s="44"/>
      <c r="M71" s="44"/>
      <c r="N71" s="45"/>
    </row>
    <row r="72" spans="2:22" ht="29" x14ac:dyDescent="0.35">
      <c r="B72" s="29" t="s">
        <v>71</v>
      </c>
      <c r="C72" s="8" t="s">
        <v>119</v>
      </c>
      <c r="D72" s="4"/>
      <c r="E72" s="4"/>
      <c r="F72" s="4" t="str">
        <f>IF(P72*Q72=0,$S$15,VLOOKUP(Q72,Lookups!$D$4:$J$8,'Design Phase'!P72+2))</f>
        <v>Select L  &amp; C</v>
      </c>
      <c r="G72" s="5"/>
      <c r="H72" s="5"/>
      <c r="I72" s="4"/>
      <c r="J72" s="4"/>
      <c r="K72" s="4" t="str">
        <f>IF(U72*V72=0,$S$15,VLOOKUP(V72,Lookups!$D$4:$J$8,'Design Phase'!U72+2))</f>
        <v>Select L  &amp; C</v>
      </c>
      <c r="L72" s="4"/>
      <c r="M72" s="5"/>
      <c r="N72" s="5"/>
      <c r="P72" s="13">
        <f>IF(D72=Lookups!$B$4,1,IF(D72=Lookups!$B$5,2,IF(D72=Lookups!$B$6,3,IF(D72=Lookups!$B$7,4,IF(D72=Lookups!$B$8,5,0)))))</f>
        <v>0</v>
      </c>
      <c r="Q72" s="13">
        <f>IF(E72=Lookups!$C$4,1,IF(E72=Lookups!$C$5,2,IF(E72=Lookups!$C$6,3,IF(E72=Lookups!$C$7,4,IF(E72=Lookups!$C$8,5,0)))))</f>
        <v>0</v>
      </c>
      <c r="U72" s="13">
        <f>IF(I72=Lookups!$B$4,1,IF(I72=Lookups!$B$5,2,IF(I72=Lookups!$B$6,3,IF(I72=Lookups!$B$7,4,IF(I72=Lookups!$B$8,5,0)))))</f>
        <v>0</v>
      </c>
      <c r="V72" s="13">
        <f>IF(J72=Lookups!$C$4,1,IF(J72=Lookups!$C$5,2,IF(J72=Lookups!$C$6,3,IF(J72=Lookups!$C$7,4,IF(J72=Lookups!$C$8,5,0)))))</f>
        <v>0</v>
      </c>
    </row>
    <row r="73" spans="2:22" ht="29" x14ac:dyDescent="0.35">
      <c r="B73" s="31"/>
      <c r="C73" s="8" t="s">
        <v>189</v>
      </c>
      <c r="D73" s="4"/>
      <c r="E73" s="4"/>
      <c r="F73" s="4"/>
      <c r="G73" s="5"/>
      <c r="H73" s="5"/>
      <c r="I73" s="4"/>
      <c r="J73" s="4"/>
      <c r="K73" s="4"/>
      <c r="L73" s="4"/>
      <c r="M73" s="5"/>
      <c r="N73" s="5"/>
    </row>
    <row r="74" spans="2:22" ht="29" x14ac:dyDescent="0.35">
      <c r="B74" s="30"/>
      <c r="C74" s="8" t="s">
        <v>72</v>
      </c>
      <c r="D74" s="4"/>
      <c r="E74" s="4"/>
      <c r="F74" s="4" t="str">
        <f>IF(P74*Q74=0,$S$15,VLOOKUP(Q74,Lookups!$D$4:$J$8,'Design Phase'!P74+2))</f>
        <v>Select L  &amp; C</v>
      </c>
      <c r="G74" s="5"/>
      <c r="H74" s="5"/>
      <c r="I74" s="4"/>
      <c r="J74" s="4"/>
      <c r="K74" s="4" t="str">
        <f>IF(U74*V74=0,$S$15,VLOOKUP(V74,Lookups!$D$4:$J$8,'Design Phase'!U74+2))</f>
        <v>Select L  &amp; C</v>
      </c>
      <c r="L74" s="4"/>
      <c r="M74" s="5"/>
      <c r="N74" s="5"/>
      <c r="P74" s="13">
        <f>IF(D74=Lookups!$B$4,1,IF(D74=Lookups!$B$5,2,IF(D74=Lookups!$B$6,3,IF(D74=Lookups!$B$7,4,IF(D74=Lookups!$B$8,5,0)))))</f>
        <v>0</v>
      </c>
      <c r="Q74" s="13">
        <f>IF(E74=Lookups!$C$4,1,IF(E74=Lookups!$C$5,2,IF(E74=Lookups!$C$6,3,IF(E74=Lookups!$C$7,4,IF(E74=Lookups!$C$8,5,0)))))</f>
        <v>0</v>
      </c>
      <c r="U74" s="13">
        <f>IF(I74=Lookups!$B$4,1,IF(I74=Lookups!$B$5,2,IF(I74=Lookups!$B$6,3,IF(I74=Lookups!$B$7,4,IF(I74=Lookups!$B$8,5,0)))))</f>
        <v>0</v>
      </c>
      <c r="V74" s="13">
        <f>IF(J74=Lookups!$C$4,1,IF(J74=Lookups!$C$5,2,IF(J74=Lookups!$C$6,3,IF(J74=Lookups!$C$7,4,IF(J74=Lookups!$C$8,5,0)))))</f>
        <v>0</v>
      </c>
    </row>
    <row r="75" spans="2:22" x14ac:dyDescent="0.35">
      <c r="B75" s="43" t="s">
        <v>150</v>
      </c>
      <c r="C75" s="44"/>
      <c r="D75" s="44"/>
      <c r="E75" s="44"/>
      <c r="F75" s="44"/>
      <c r="G75" s="44"/>
      <c r="H75" s="44"/>
      <c r="I75" s="44"/>
      <c r="J75" s="44"/>
      <c r="K75" s="44"/>
      <c r="L75" s="44"/>
      <c r="M75" s="44"/>
      <c r="N75" s="45"/>
    </row>
    <row r="76" spans="2:22" ht="29" x14ac:dyDescent="0.35">
      <c r="B76" s="8" t="s">
        <v>187</v>
      </c>
      <c r="C76" s="8" t="s">
        <v>188</v>
      </c>
      <c r="D76" s="4"/>
      <c r="E76" s="4"/>
      <c r="F76" s="4" t="str">
        <f>IF(P76*Q76=0,$S$15,VLOOKUP(Q76,Lookups!$D$4:$J$8,'Design Phase'!P76+2))</f>
        <v>Select L  &amp; C</v>
      </c>
      <c r="G76" s="5"/>
      <c r="H76" s="5"/>
      <c r="I76" s="4"/>
      <c r="J76" s="4"/>
      <c r="K76" s="4" t="str">
        <f>IF(U76*V76=0,$S$15,VLOOKUP(V76,Lookups!$D$4:$J$8,'Design Phase'!U76+2))</f>
        <v>Select L  &amp; C</v>
      </c>
      <c r="L76" s="4"/>
      <c r="M76" s="5"/>
      <c r="N76" s="5"/>
      <c r="P76" s="13">
        <f>IF(D76=Lookups!$B$4,1,IF(D76=Lookups!$B$5,2,IF(D76=Lookups!$B$6,3,IF(D76=Lookups!$B$7,4,IF(D76=Lookups!$B$8,5,0)))))</f>
        <v>0</v>
      </c>
      <c r="Q76" s="13">
        <f>IF(E76=Lookups!$C$4,1,IF(E76=Lookups!$C$5,2,IF(E76=Lookups!$C$6,3,IF(E76=Lookups!$C$7,4,IF(E76=Lookups!$C$8,5,0)))))</f>
        <v>0</v>
      </c>
      <c r="U76" s="13">
        <f>IF(I76=Lookups!$B$4,1,IF(I76=Lookups!$B$5,2,IF(I76=Lookups!$B$6,3,IF(I76=Lookups!$B$7,4,IF(I76=Lookups!$B$8,5,0)))))</f>
        <v>0</v>
      </c>
      <c r="V76" s="13">
        <f>IF(J76=Lookups!$C$4,1,IF(J76=Lookups!$C$5,2,IF(J76=Lookups!$C$6,3,IF(J76=Lookups!$C$7,4,IF(J76=Lookups!$C$8,5,0)))))</f>
        <v>0</v>
      </c>
    </row>
    <row r="77" spans="2:22" ht="29" x14ac:dyDescent="0.35">
      <c r="B77" s="8" t="s">
        <v>21</v>
      </c>
      <c r="C77" s="8" t="s">
        <v>188</v>
      </c>
      <c r="D77" s="4"/>
      <c r="E77" s="4"/>
      <c r="F77" s="4" t="str">
        <f>IF(P77*Q77=0,$S$15,VLOOKUP(Q77,Lookups!$D$4:$J$8,'Design Phase'!P77+2))</f>
        <v>Select L  &amp; C</v>
      </c>
      <c r="G77" s="5"/>
      <c r="H77" s="5"/>
      <c r="I77" s="4"/>
      <c r="J77" s="4"/>
      <c r="K77" s="4" t="str">
        <f>IF(U77*V77=0,$S$15,VLOOKUP(V77,Lookups!$D$4:$J$8,'Design Phase'!U77+2))</f>
        <v>Select L  &amp; C</v>
      </c>
      <c r="L77" s="4"/>
      <c r="M77" s="5"/>
      <c r="N77" s="5"/>
      <c r="P77" s="13">
        <f>IF(D77=Lookups!$B$4,1,IF(D77=Lookups!$B$5,2,IF(D77=Lookups!$B$6,3,IF(D77=Lookups!$B$7,4,IF(D77=Lookups!$B$8,5,0)))))</f>
        <v>0</v>
      </c>
      <c r="Q77" s="13">
        <f>IF(E77=Lookups!$C$4,1,IF(E77=Lookups!$C$5,2,IF(E77=Lookups!$C$6,3,IF(E77=Lookups!$C$7,4,IF(E77=Lookups!$C$8,5,0)))))</f>
        <v>0</v>
      </c>
      <c r="U77" s="13">
        <f>IF(I77=Lookups!$B$4,1,IF(I77=Lookups!$B$5,2,IF(I77=Lookups!$B$6,3,IF(I77=Lookups!$B$7,4,IF(I77=Lookups!$B$8,5,0)))))</f>
        <v>0</v>
      </c>
      <c r="V77" s="13">
        <f>IF(J77=Lookups!$C$4,1,IF(J77=Lookups!$C$5,2,IF(J77=Lookups!$C$6,3,IF(J77=Lookups!$C$7,4,IF(J77=Lookups!$C$8,5,0)))))</f>
        <v>0</v>
      </c>
    </row>
    <row r="78" spans="2:22" ht="29" x14ac:dyDescent="0.35">
      <c r="B78" s="8" t="s">
        <v>190</v>
      </c>
      <c r="C78" s="8" t="s">
        <v>191</v>
      </c>
      <c r="D78" s="4"/>
      <c r="E78" s="4"/>
      <c r="F78" s="4" t="str">
        <f>IF(P78*Q78=0,$S$15,VLOOKUP(Q78,Lookups!$D$4:$J$8,'Design Phase'!P78+2))</f>
        <v>Select L  &amp; C</v>
      </c>
      <c r="G78" s="5"/>
      <c r="H78" s="5"/>
      <c r="I78" s="4"/>
      <c r="J78" s="4"/>
      <c r="K78" s="4" t="str">
        <f>IF(U78*V78=0,$S$15,VLOOKUP(V78,Lookups!$D$4:$J$8,'Design Phase'!U78+2))</f>
        <v>Select L  &amp; C</v>
      </c>
      <c r="L78" s="4"/>
      <c r="M78" s="5"/>
      <c r="N78" s="5"/>
      <c r="P78" s="13">
        <f>IF(D78=Lookups!$B$4,1,IF(D78=Lookups!$B$5,2,IF(D78=Lookups!$B$6,3,IF(D78=Lookups!$B$7,4,IF(D78=Lookups!$B$8,5,0)))))</f>
        <v>0</v>
      </c>
      <c r="Q78" s="13">
        <f>IF(E78=Lookups!$C$4,1,IF(E78=Lookups!$C$5,2,IF(E78=Lookups!$C$6,3,IF(E78=Lookups!$C$7,4,IF(E78=Lookups!$C$8,5,0)))))</f>
        <v>0</v>
      </c>
      <c r="U78" s="13">
        <f>IF(I78=Lookups!$B$4,1,IF(I78=Lookups!$B$5,2,IF(I78=Lookups!$B$6,3,IF(I78=Lookups!$B$7,4,IF(I78=Lookups!$B$8,5,0)))))</f>
        <v>0</v>
      </c>
      <c r="V78" s="13">
        <f>IF(J78=Lookups!$C$4,1,IF(J78=Lookups!$C$5,2,IF(J78=Lookups!$C$6,3,IF(J78=Lookups!$C$7,4,IF(J78=Lookups!$C$8,5,0)))))</f>
        <v>0</v>
      </c>
    </row>
    <row r="79" spans="2:22" x14ac:dyDescent="0.35">
      <c r="B79" s="27" t="s">
        <v>29</v>
      </c>
      <c r="C79" s="35"/>
      <c r="D79" s="35"/>
      <c r="E79" s="35"/>
      <c r="F79" s="35"/>
      <c r="G79" s="35"/>
      <c r="H79" s="35"/>
      <c r="I79" s="35"/>
      <c r="J79" s="35"/>
      <c r="K79" s="35"/>
      <c r="L79" s="35"/>
      <c r="M79" s="35"/>
      <c r="N79" s="28"/>
      <c r="P79" s="13">
        <f>IF(D79=Lookups!$B$4,1,IF(D79=Lookups!$B$5,2,IF(D79=Lookups!$B$6,3,IF(D79=Lookups!$B$7,4,IF(D79=Lookups!$B$8,5,0)))))</f>
        <v>0</v>
      </c>
      <c r="Q79" s="13">
        <f>IF(E79=Lookups!$C$4,1,IF(E79=Lookups!$C$5,2,IF(E79=Lookups!$C$6,3,IF(E79=Lookups!$C$7,4,IF(E79=Lookups!$C$8,5,0)))))</f>
        <v>0</v>
      </c>
      <c r="U79" s="13">
        <f>IF(I79=Lookups!$B$4,1,IF(I79=Lookups!$B$5,2,IF(I79=Lookups!$B$6,3,IF(I79=Lookups!$B$7,4,IF(I79=Lookups!$B$8,5,0)))))</f>
        <v>0</v>
      </c>
      <c r="V79" s="13">
        <f>IF(J79=Lookups!$C$4,1,IF(J79=Lookups!$C$5,2,IF(J79=Lookups!$C$6,3,IF(J79=Lookups!$C$7,4,IF(J79=Lookups!$C$8,5,0)))))</f>
        <v>0</v>
      </c>
    </row>
    <row r="80" spans="2:22" x14ac:dyDescent="0.35">
      <c r="B80" s="43" t="s">
        <v>149</v>
      </c>
      <c r="C80" s="44"/>
      <c r="D80" s="44"/>
      <c r="E80" s="44"/>
      <c r="F80" s="44"/>
      <c r="G80" s="44"/>
      <c r="H80" s="44"/>
      <c r="I80" s="44"/>
      <c r="J80" s="44"/>
      <c r="K80" s="44"/>
      <c r="L80" s="44"/>
      <c r="M80" s="44"/>
      <c r="N80" s="45"/>
    </row>
    <row r="81" spans="2:22" ht="72.5" x14ac:dyDescent="0.35">
      <c r="B81" s="8" t="s">
        <v>109</v>
      </c>
      <c r="C81" s="8" t="s">
        <v>110</v>
      </c>
      <c r="D81" s="4"/>
      <c r="E81" s="4"/>
      <c r="F81" s="4" t="str">
        <f>IF(P81*Q81=0,$S$15,VLOOKUP(Q81,Lookups!$D$4:$J$8,'Design Phase'!P81+2))</f>
        <v>Select L  &amp; C</v>
      </c>
      <c r="G81" s="5"/>
      <c r="H81" s="5"/>
      <c r="I81" s="4"/>
      <c r="J81" s="4"/>
      <c r="K81" s="4" t="str">
        <f>IF(U81*V81=0,$S$15,VLOOKUP(V81,Lookups!$D$4:$J$8,'Design Phase'!U81+2))</f>
        <v>Select L  &amp; C</v>
      </c>
      <c r="L81" s="4"/>
      <c r="M81" s="5"/>
      <c r="N81" s="5"/>
      <c r="P81" s="13">
        <f>IF(D81=Lookups!$B$4,1,IF(D81=Lookups!$B$5,2,IF(D81=Lookups!$B$6,3,IF(D81=Lookups!$B$7,4,IF(D81=Lookups!$B$8,5,0)))))</f>
        <v>0</v>
      </c>
      <c r="Q81" s="13">
        <f>IF(E81=Lookups!$C$4,1,IF(E81=Lookups!$C$5,2,IF(E81=Lookups!$C$6,3,IF(E81=Lookups!$C$7,4,IF(E81=Lookups!$C$8,5,0)))))</f>
        <v>0</v>
      </c>
      <c r="U81" s="13">
        <f>IF(I81=Lookups!$B$4,1,IF(I81=Lookups!$B$5,2,IF(I81=Lookups!$B$6,3,IF(I81=Lookups!$B$7,4,IF(I81=Lookups!$B$8,5,0)))))</f>
        <v>0</v>
      </c>
      <c r="V81" s="13">
        <f>IF(J81=Lookups!$C$4,1,IF(J81=Lookups!$C$5,2,IF(J81=Lookups!$C$6,3,IF(J81=Lookups!$C$7,4,IF(J81=Lookups!$C$8,5,0)))))</f>
        <v>0</v>
      </c>
    </row>
    <row r="82" spans="2:22" ht="43.5" x14ac:dyDescent="0.35">
      <c r="B82" s="8" t="s">
        <v>138</v>
      </c>
      <c r="C82" s="8" t="s">
        <v>139</v>
      </c>
      <c r="D82" s="4"/>
      <c r="E82" s="4"/>
      <c r="F82" s="4" t="str">
        <f>IF(P82*Q82=0,$S$15,VLOOKUP(Q82,Lookups!$D$4:$J$8,'Design Phase'!P82+2))</f>
        <v>Select L  &amp; C</v>
      </c>
      <c r="G82" s="5"/>
      <c r="H82" s="5"/>
      <c r="I82" s="4"/>
      <c r="J82" s="4"/>
      <c r="K82" s="4" t="str">
        <f>IF(U82*V82=0,$S$15,VLOOKUP(V82,Lookups!$D$4:$J$8,'Design Phase'!U82+2))</f>
        <v>Select L  &amp; C</v>
      </c>
      <c r="L82" s="4"/>
      <c r="M82" s="5"/>
      <c r="N82" s="5"/>
    </row>
    <row r="83" spans="2:22" ht="43.5" x14ac:dyDescent="0.35">
      <c r="B83" s="8" t="s">
        <v>142</v>
      </c>
      <c r="C83" s="8" t="s">
        <v>143</v>
      </c>
      <c r="D83" s="4"/>
      <c r="E83" s="4"/>
      <c r="F83" s="4" t="str">
        <f>IF(P83*Q83=0,$S$15,VLOOKUP(Q83,Lookups!$D$4:$J$8,'Design Phase'!P83+2))</f>
        <v>Select L  &amp; C</v>
      </c>
      <c r="G83" s="5"/>
      <c r="H83" s="5"/>
      <c r="I83" s="4"/>
      <c r="J83" s="4"/>
      <c r="K83" s="4" t="str">
        <f>IF(U83*V83=0,$S$15,VLOOKUP(V83,Lookups!$D$4:$J$8,'Design Phase'!U83+2))</f>
        <v>Select L  &amp; C</v>
      </c>
      <c r="L83" s="4"/>
      <c r="M83" s="5"/>
      <c r="N83" s="5"/>
    </row>
    <row r="84" spans="2:22" x14ac:dyDescent="0.35">
      <c r="B84" s="43" t="s">
        <v>150</v>
      </c>
      <c r="C84" s="44"/>
      <c r="D84" s="44"/>
      <c r="E84" s="44"/>
      <c r="F84" s="44"/>
      <c r="G84" s="44"/>
      <c r="H84" s="44"/>
      <c r="I84" s="44"/>
      <c r="J84" s="44"/>
      <c r="K84" s="44"/>
      <c r="L84" s="44"/>
      <c r="M84" s="44"/>
      <c r="N84" s="45"/>
    </row>
    <row r="85" spans="2:22" ht="58" x14ac:dyDescent="0.35">
      <c r="B85" s="8" t="s">
        <v>17</v>
      </c>
      <c r="C85" s="8" t="s">
        <v>185</v>
      </c>
      <c r="D85" s="4"/>
      <c r="E85" s="4"/>
      <c r="F85" s="4" t="str">
        <f>IF(P85*Q85=0,$S$15,VLOOKUP(Q85,Lookups!$D$4:$J$8,'Design Phase'!P85+2))</f>
        <v>Select L  &amp; C</v>
      </c>
      <c r="G85" s="5"/>
      <c r="H85" s="5"/>
      <c r="I85" s="4"/>
      <c r="J85" s="4"/>
      <c r="K85" s="4" t="str">
        <f>IF(U85*V85=0,$S$15,VLOOKUP(V85,Lookups!$D$4:$J$8,'Design Phase'!U85+2))</f>
        <v>Select L  &amp; C</v>
      </c>
      <c r="L85" s="11"/>
      <c r="M85" s="10"/>
      <c r="N85" s="10"/>
      <c r="P85" s="13">
        <f>IF(D85=Lookups!$B$4,1,IF(D85=Lookups!$B$5,2,IF(D85=Lookups!$B$6,3,IF(D85=Lookups!$B$7,4,IF(D85=Lookups!$B$8,5,0)))))</f>
        <v>0</v>
      </c>
      <c r="Q85" s="13">
        <f>IF(E85=Lookups!$C$4,1,IF(E85=Lookups!$C$5,2,IF(E85=Lookups!$C$6,3,IF(E85=Lookups!$C$7,4,IF(E85=Lookups!$C$8,5,0)))))</f>
        <v>0</v>
      </c>
      <c r="S85" t="s">
        <v>65</v>
      </c>
      <c r="U85" s="13">
        <f>IF(I85=Lookups!$B$4,1,IF(I85=Lookups!$B$5,2,IF(I85=Lookups!$B$6,3,IF(I85=Lookups!$B$7,4,IF(I85=Lookups!$B$8,5,0)))))</f>
        <v>0</v>
      </c>
      <c r="V85" s="13">
        <f>IF(J85=Lookups!$C$4,1,IF(J85=Lookups!$C$5,2,IF(J85=Lookups!$C$6,3,IF(J85=Lookups!$C$7,4,IF(J85=Lookups!$C$8,5,0)))))</f>
        <v>0</v>
      </c>
    </row>
    <row r="86" spans="2:22" ht="43.5" x14ac:dyDescent="0.35">
      <c r="B86" s="8" t="s">
        <v>142</v>
      </c>
      <c r="C86" s="8" t="s">
        <v>196</v>
      </c>
      <c r="D86" s="4"/>
      <c r="E86" s="4"/>
      <c r="F86" s="4" t="str">
        <f>IF(P86*Q86=0,$S$15,VLOOKUP(Q86,Lookups!$D$4:$J$8,'Design Phase'!P86+2))</f>
        <v>Select L  &amp; C</v>
      </c>
      <c r="G86" s="5"/>
      <c r="H86" s="5"/>
      <c r="I86" s="4"/>
      <c r="J86" s="4"/>
      <c r="K86" s="4" t="str">
        <f>IF(U86*V86=0,$S$15,VLOOKUP(V86,Lookups!$D$4:$J$8,'Design Phase'!U86+2))</f>
        <v>Select L  &amp; C</v>
      </c>
      <c r="L86" s="11"/>
      <c r="M86" s="10"/>
      <c r="N86" s="10"/>
    </row>
    <row r="87" spans="2:22" x14ac:dyDescent="0.35">
      <c r="B87" s="27" t="s">
        <v>165</v>
      </c>
      <c r="C87" s="35"/>
      <c r="D87" s="35"/>
      <c r="E87" s="35"/>
      <c r="F87" s="35"/>
      <c r="G87" s="35"/>
      <c r="H87" s="35"/>
      <c r="I87" s="35"/>
      <c r="J87" s="35"/>
      <c r="K87" s="35"/>
      <c r="L87" s="35"/>
      <c r="M87" s="35"/>
      <c r="N87" s="28"/>
      <c r="P87" s="13">
        <f>IF(D87=Lookups!$B$4,1,IF(D87=Lookups!$B$5,2,IF(D87=Lookups!$B$6,3,IF(D87=Lookups!$B$7,4,IF(D87=Lookups!$B$8,5,0)))))</f>
        <v>0</v>
      </c>
      <c r="Q87" s="13">
        <f>IF(E87=Lookups!$C$4,1,IF(E87=Lookups!$C$5,2,IF(E87=Lookups!$C$6,3,IF(E87=Lookups!$C$7,4,IF(E87=Lookups!$C$8,5,0)))))</f>
        <v>0</v>
      </c>
      <c r="U87" s="13">
        <f>IF(I87=Lookups!$B$4,1,IF(I87=Lookups!$B$5,2,IF(I87=Lookups!$B$6,3,IF(I87=Lookups!$B$7,4,IF(I87=Lookups!$B$8,5,0)))))</f>
        <v>0</v>
      </c>
      <c r="V87" s="13">
        <f>IF(J87=Lookups!$C$4,1,IF(J87=Lookups!$C$5,2,IF(J87=Lookups!$C$6,3,IF(J87=Lookups!$C$7,4,IF(J87=Lookups!$C$8,5,0)))))</f>
        <v>0</v>
      </c>
    </row>
    <row r="88" spans="2:22" x14ac:dyDescent="0.35">
      <c r="B88" s="43" t="s">
        <v>149</v>
      </c>
      <c r="C88" s="44"/>
      <c r="D88" s="44"/>
      <c r="E88" s="44"/>
      <c r="F88" s="44"/>
      <c r="G88" s="44"/>
      <c r="H88" s="44"/>
      <c r="I88" s="44"/>
      <c r="J88" s="44"/>
      <c r="K88" s="44"/>
      <c r="L88" s="44"/>
      <c r="M88" s="44"/>
      <c r="N88" s="45"/>
    </row>
    <row r="89" spans="2:22" ht="43.5" x14ac:dyDescent="0.35">
      <c r="B89" s="16" t="s">
        <v>112</v>
      </c>
      <c r="C89" s="8" t="s">
        <v>134</v>
      </c>
      <c r="D89" s="4"/>
      <c r="E89" s="4"/>
      <c r="F89" s="4" t="str">
        <f>IF(P89*Q89=0,$S$15,VLOOKUP(Q89,Lookups!$D$4:$J$8,'Design Phase'!P89+2))</f>
        <v>Select L  &amp; C</v>
      </c>
      <c r="G89" s="5"/>
      <c r="H89" s="5"/>
      <c r="I89" s="4"/>
      <c r="J89" s="4"/>
      <c r="K89" s="4" t="str">
        <f>IF(U89*V89=0,$S$15,VLOOKUP(V89,Lookups!$D$4:$J$8,'Design Phase'!U89+2))</f>
        <v>Select L  &amp; C</v>
      </c>
      <c r="L89" s="4"/>
      <c r="M89" s="5"/>
      <c r="N89" s="5"/>
      <c r="P89" s="13">
        <f>IF(D89=Lookups!$B$4,1,IF(D89=Lookups!$B$5,2,IF(D89=Lookups!$B$6,3,IF(D89=Lookups!$B$7,4,IF(D89=Lookups!$B$8,5,0)))))</f>
        <v>0</v>
      </c>
      <c r="Q89" s="13">
        <f>IF(E89=Lookups!$C$4,1,IF(E89=Lookups!$C$5,2,IF(E89=Lookups!$C$6,3,IF(E89=Lookups!$C$7,4,IF(E89=Lookups!$C$8,5,0)))))</f>
        <v>0</v>
      </c>
      <c r="U89" s="13">
        <f>IF(I89=Lookups!$B$4,1,IF(I89=Lookups!$B$5,2,IF(I89=Lookups!$B$6,3,IF(I89=Lookups!$B$7,4,IF(I89=Lookups!$B$8,5,0)))))</f>
        <v>0</v>
      </c>
      <c r="V89" s="13">
        <f>IF(J89=Lookups!$C$4,1,IF(J89=Lookups!$C$5,2,IF(J89=Lookups!$C$6,3,IF(J89=Lookups!$C$7,4,IF(J89=Lookups!$C$8,5,0)))))</f>
        <v>0</v>
      </c>
    </row>
    <row r="90" spans="2:22" ht="43.5" x14ac:dyDescent="0.35">
      <c r="B90" s="16" t="s">
        <v>132</v>
      </c>
      <c r="C90" s="8" t="s">
        <v>133</v>
      </c>
      <c r="D90" s="4"/>
      <c r="E90" s="4"/>
      <c r="F90" s="4"/>
      <c r="G90" s="5"/>
      <c r="H90" s="5"/>
      <c r="I90" s="4"/>
      <c r="J90" s="4"/>
      <c r="K90" s="4"/>
      <c r="L90" s="4"/>
      <c r="M90" s="5"/>
      <c r="N90" s="5"/>
    </row>
    <row r="91" spans="2:22" ht="72.5" x14ac:dyDescent="0.35">
      <c r="B91" s="8" t="s">
        <v>130</v>
      </c>
      <c r="C91" s="8" t="s">
        <v>131</v>
      </c>
      <c r="D91" s="4"/>
      <c r="E91" s="4"/>
      <c r="F91" s="4" t="str">
        <f>IF(P91*Q91=0,$S$15,VLOOKUP(Q91,Lookups!$D$4:$J$8,'Design Phase'!P91+2))</f>
        <v>Select L  &amp; C</v>
      </c>
      <c r="G91" s="5"/>
      <c r="H91" s="5"/>
      <c r="I91" s="4"/>
      <c r="J91" s="4"/>
      <c r="K91" s="4"/>
      <c r="L91" s="4"/>
      <c r="M91" s="5"/>
      <c r="N91" s="5"/>
    </row>
    <row r="92" spans="2:22" ht="58" x14ac:dyDescent="0.35">
      <c r="B92" s="3" t="s">
        <v>126</v>
      </c>
      <c r="C92" s="8" t="s">
        <v>127</v>
      </c>
      <c r="D92" s="4"/>
      <c r="E92" s="4"/>
      <c r="F92" s="4" t="str">
        <f>IF(P92*Q92=0,$S$15,VLOOKUP(Q92,Lookups!$D$4:$J$8,'Design Phase'!P92+2))</f>
        <v>Select L  &amp; C</v>
      </c>
      <c r="G92" s="5"/>
      <c r="H92" s="5"/>
      <c r="I92" s="4"/>
      <c r="J92" s="4"/>
      <c r="K92" s="4"/>
      <c r="L92" s="4"/>
      <c r="M92" s="5"/>
      <c r="N92" s="5"/>
    </row>
    <row r="93" spans="2:22" ht="43.5" x14ac:dyDescent="0.35">
      <c r="B93" s="3" t="s">
        <v>32</v>
      </c>
      <c r="C93" s="12" t="s">
        <v>128</v>
      </c>
      <c r="D93" s="4"/>
      <c r="E93" s="4"/>
      <c r="F93" s="4" t="str">
        <f>IF(P93*Q93=0,$S$15,VLOOKUP(Q93,Lookups!$D$4:$J$8,'Design Phase'!P93+2))</f>
        <v>Select L  &amp; C</v>
      </c>
      <c r="G93" s="5"/>
      <c r="H93" s="5"/>
      <c r="I93" s="4"/>
      <c r="J93" s="4"/>
      <c r="K93" s="4"/>
      <c r="L93" s="4"/>
      <c r="M93" s="5"/>
      <c r="N93" s="5"/>
    </row>
    <row r="94" spans="2:22" x14ac:dyDescent="0.35">
      <c r="B94" s="29" t="s">
        <v>33</v>
      </c>
      <c r="C94" s="8" t="s">
        <v>34</v>
      </c>
      <c r="D94" s="4"/>
      <c r="E94" s="4"/>
      <c r="F94" s="4" t="str">
        <f>IF(P94*Q94=0,$S$15,VLOOKUP(Q94,Lookups!$D$4:$J$8,'Design Phase'!P94+2))</f>
        <v>Select L  &amp; C</v>
      </c>
      <c r="G94" s="5"/>
      <c r="H94" s="5"/>
      <c r="I94" s="4"/>
      <c r="J94" s="4"/>
      <c r="K94" s="4"/>
      <c r="L94" s="4"/>
      <c r="M94" s="5"/>
      <c r="N94" s="5"/>
    </row>
    <row r="95" spans="2:22" x14ac:dyDescent="0.35">
      <c r="B95" s="30"/>
      <c r="C95" s="8" t="s">
        <v>35</v>
      </c>
      <c r="D95" s="4"/>
      <c r="E95" s="4"/>
      <c r="F95" s="4" t="str">
        <f>IF(P95*Q95=0,$S$15,VLOOKUP(Q95,Lookups!$D$4:$J$8,'Design Phase'!P95+2))</f>
        <v>Select L  &amp; C</v>
      </c>
      <c r="G95" s="5"/>
      <c r="H95" s="5"/>
      <c r="I95" s="4"/>
      <c r="J95" s="4"/>
      <c r="K95" s="4"/>
      <c r="L95" s="4"/>
      <c r="M95" s="5"/>
      <c r="N95" s="5"/>
    </row>
    <row r="96" spans="2:22" ht="43.5" x14ac:dyDescent="0.35">
      <c r="B96" s="16" t="s">
        <v>136</v>
      </c>
      <c r="C96" s="8" t="s">
        <v>137</v>
      </c>
      <c r="D96" s="4"/>
      <c r="E96" s="4"/>
      <c r="F96" s="4" t="str">
        <f>IF(P96*Q96=0,$S$15,VLOOKUP(Q96,Lookups!$D$4:$J$8,'Design Phase'!P96+2))</f>
        <v>Select L  &amp; C</v>
      </c>
      <c r="G96" s="5"/>
      <c r="H96" s="5"/>
      <c r="I96" s="4"/>
      <c r="J96" s="4"/>
      <c r="K96" s="4"/>
      <c r="L96" s="4"/>
      <c r="M96" s="5"/>
      <c r="N96" s="5"/>
    </row>
    <row r="97" spans="2:22" ht="29" x14ac:dyDescent="0.35">
      <c r="B97" s="16" t="s">
        <v>140</v>
      </c>
      <c r="C97" s="8" t="s">
        <v>141</v>
      </c>
      <c r="D97" s="4"/>
      <c r="E97" s="4"/>
      <c r="F97" s="4" t="str">
        <f>IF(P97*Q97=0,$S$15,VLOOKUP(Q97,Lookups!$D$4:$J$8,'Design Phase'!P97+2))</f>
        <v>Select L  &amp; C</v>
      </c>
      <c r="G97" s="5"/>
      <c r="H97" s="5"/>
      <c r="I97" s="4"/>
      <c r="J97" s="4"/>
      <c r="K97" s="4"/>
      <c r="L97" s="4"/>
      <c r="M97" s="5"/>
      <c r="N97" s="5"/>
    </row>
    <row r="98" spans="2:22" ht="72.5" x14ac:dyDescent="0.35">
      <c r="B98" s="16" t="s">
        <v>114</v>
      </c>
      <c r="C98" s="8" t="s">
        <v>115</v>
      </c>
      <c r="D98" s="4"/>
      <c r="E98" s="4"/>
      <c r="F98" s="4" t="str">
        <f>IF(P98*Q98=0,$S$15,VLOOKUP(Q98,Lookups!$D$4:$J$8,'Design Phase'!P98+2))</f>
        <v>Select L  &amp; C</v>
      </c>
      <c r="G98" s="5"/>
      <c r="H98" s="5"/>
      <c r="I98" s="4"/>
      <c r="J98" s="4"/>
      <c r="K98" s="4" t="str">
        <f>IF(U98*V98=0,$S$15,VLOOKUP(V98,Lookups!$D$4:$J$8,'Design Phase'!U98+2))</f>
        <v>Select L  &amp; C</v>
      </c>
      <c r="L98" s="4"/>
      <c r="M98" s="5"/>
      <c r="N98" s="5"/>
      <c r="P98" s="13">
        <f>IF(D98=Lookups!$B$4,1,IF(D98=Lookups!$B$5,2,IF(D98=Lookups!$B$6,3,IF(D98=Lookups!$B$7,4,IF(D98=Lookups!$B$8,5,0)))))</f>
        <v>0</v>
      </c>
      <c r="Q98" s="13">
        <f>IF(E98=Lookups!$C$4,1,IF(E98=Lookups!$C$5,2,IF(E98=Lookups!$C$6,3,IF(E98=Lookups!$C$7,4,IF(E98=Lookups!$C$8,5,0)))))</f>
        <v>0</v>
      </c>
      <c r="U98" s="13">
        <f>IF(I98=Lookups!$B$4,1,IF(I98=Lookups!$B$5,2,IF(I98=Lookups!$B$6,3,IF(I98=Lookups!$B$7,4,IF(I98=Lookups!$B$8,5,0)))))</f>
        <v>0</v>
      </c>
      <c r="V98" s="13">
        <f>IF(J98=Lookups!$C$4,1,IF(J98=Lookups!$C$5,2,IF(J98=Lookups!$C$6,3,IF(J98=Lookups!$C$7,4,IF(J98=Lookups!$C$8,5,0)))))</f>
        <v>0</v>
      </c>
    </row>
    <row r="99" spans="2:22" x14ac:dyDescent="0.35">
      <c r="B99" s="43" t="s">
        <v>150</v>
      </c>
      <c r="C99" s="44"/>
      <c r="D99" s="44"/>
      <c r="E99" s="44"/>
      <c r="F99" s="44"/>
      <c r="G99" s="44"/>
      <c r="H99" s="44"/>
      <c r="I99" s="44"/>
      <c r="J99" s="44"/>
      <c r="K99" s="44"/>
      <c r="L99" s="44"/>
      <c r="M99" s="44"/>
      <c r="N99" s="45"/>
    </row>
    <row r="100" spans="2:22" ht="43.5" x14ac:dyDescent="0.35">
      <c r="B100" s="21" t="s">
        <v>166</v>
      </c>
      <c r="C100" s="8" t="s">
        <v>167</v>
      </c>
      <c r="D100" s="4"/>
      <c r="E100" s="4"/>
      <c r="F100" s="4" t="str">
        <f>IF(P100*Q100=0,$S$15,VLOOKUP(Q100,Lookups!$D$4:$J$8,'Design Phase'!P100+2))</f>
        <v>Select L  &amp; C</v>
      </c>
      <c r="G100" s="5"/>
      <c r="H100" s="5"/>
      <c r="I100" s="4"/>
      <c r="J100" s="4"/>
      <c r="K100" s="4" t="str">
        <f>IF(U100*V100=0,$S$15,VLOOKUP(V100,Lookups!$D$4:$J$8,'Design Phase'!U100+2))</f>
        <v>Select L  &amp; C</v>
      </c>
      <c r="L100" s="11"/>
      <c r="M100" s="10"/>
      <c r="N100" s="10"/>
      <c r="P100" s="13">
        <f>IF(D100=Lookups!$B$4,1,IF(D100=Lookups!$B$5,2,IF(D100=Lookups!$B$6,3,IF(D100=Lookups!$B$7,4,IF(D100=Lookups!$B$8,5,0)))))</f>
        <v>0</v>
      </c>
      <c r="Q100" s="13">
        <f>IF(E100=Lookups!$C$4,1,IF(E100=Lookups!$C$5,2,IF(E100=Lookups!$C$6,3,IF(E100=Lookups!$C$7,4,IF(E100=Lookups!$C$8,5,0)))))</f>
        <v>0</v>
      </c>
      <c r="S100" t="s">
        <v>65</v>
      </c>
      <c r="U100" s="13">
        <f>IF(I100=Lookups!$B$4,1,IF(I100=Lookups!$B$5,2,IF(I100=Lookups!$B$6,3,IF(I100=Lookups!$B$7,4,IF(I100=Lookups!$B$8,5,0)))))</f>
        <v>0</v>
      </c>
      <c r="V100" s="13">
        <f>IF(J100=Lookups!$C$4,1,IF(J100=Lookups!$C$5,2,IF(J100=Lookups!$C$6,3,IF(J100=Lookups!$C$7,4,IF(J100=Lookups!$C$8,5,0)))))</f>
        <v>0</v>
      </c>
    </row>
    <row r="101" spans="2:22" ht="72.5" x14ac:dyDescent="0.35">
      <c r="B101" s="21" t="s">
        <v>168</v>
      </c>
      <c r="C101" s="8" t="s">
        <v>169</v>
      </c>
      <c r="D101" s="4"/>
      <c r="E101" s="4"/>
      <c r="F101" s="4" t="str">
        <f>IF(P101*Q101=0,$S$15,VLOOKUP(Q101,Lookups!$D$4:$J$8,'Design Phase'!P101+2))</f>
        <v>Select L  &amp; C</v>
      </c>
      <c r="G101" s="5"/>
      <c r="H101" s="5"/>
      <c r="I101" s="4"/>
      <c r="J101" s="4"/>
      <c r="K101" s="4" t="str">
        <f>IF(U101*V101=0,$S$15,VLOOKUP(V101,Lookups!$D$4:$J$8,'Design Phase'!U101+2))</f>
        <v>Select L  &amp; C</v>
      </c>
      <c r="L101" s="11"/>
      <c r="M101" s="10"/>
      <c r="N101" s="10"/>
      <c r="P101" s="13">
        <f>IF(D101=Lookups!$B$4,1,IF(D101=Lookups!$B$5,2,IF(D101=Lookups!$B$6,3,IF(D101=Lookups!$B$7,4,IF(D101=Lookups!$B$8,5,0)))))</f>
        <v>0</v>
      </c>
      <c r="Q101" s="13">
        <f>IF(E101=Lookups!$C$4,1,IF(E101=Lookups!$C$5,2,IF(E101=Lookups!$C$6,3,IF(E101=Lookups!$C$7,4,IF(E101=Lookups!$C$8,5,0)))))</f>
        <v>0</v>
      </c>
      <c r="S101" t="s">
        <v>65</v>
      </c>
      <c r="U101" s="13">
        <f>IF(I101=Lookups!$B$4,1,IF(I101=Lookups!$B$5,2,IF(I101=Lookups!$B$6,3,IF(I101=Lookups!$B$7,4,IF(I101=Lookups!$B$8,5,0)))))</f>
        <v>0</v>
      </c>
      <c r="V101" s="13">
        <f>IF(J101=Lookups!$C$4,1,IF(J101=Lookups!$C$5,2,IF(J101=Lookups!$C$6,3,IF(J101=Lookups!$C$7,4,IF(J101=Lookups!$C$8,5,0)))))</f>
        <v>0</v>
      </c>
    </row>
    <row r="102" spans="2:22" ht="72.5" x14ac:dyDescent="0.35">
      <c r="B102" s="21" t="s">
        <v>177</v>
      </c>
      <c r="C102" s="8" t="s">
        <v>178</v>
      </c>
      <c r="D102" s="4"/>
      <c r="E102" s="4"/>
      <c r="F102" s="4" t="str">
        <f>IF(P102*Q102=0,$S$15,VLOOKUP(Q102,Lookups!$D$4:$J$8,'Design Phase'!P102+2))</f>
        <v>Select L  &amp; C</v>
      </c>
      <c r="G102" s="5"/>
      <c r="H102" s="5"/>
      <c r="I102" s="4"/>
      <c r="J102" s="4"/>
      <c r="K102" s="4" t="str">
        <f>IF(U102*V102=0,$S$15,VLOOKUP(V102,Lookups!$D$4:$J$8,'Design Phase'!U102+2))</f>
        <v>Select L  &amp; C</v>
      </c>
      <c r="L102" s="11"/>
      <c r="M102" s="10"/>
      <c r="N102" s="10"/>
      <c r="P102" s="13">
        <f>IF(D102=Lookups!$B$4,1,IF(D102=Lookups!$B$5,2,IF(D102=Lookups!$B$6,3,IF(D102=Lookups!$B$7,4,IF(D102=Lookups!$B$8,5,0)))))</f>
        <v>0</v>
      </c>
      <c r="Q102" s="13">
        <f>IF(E102=Lookups!$C$4,1,IF(E102=Lookups!$C$5,2,IF(E102=Lookups!$C$6,3,IF(E102=Lookups!$C$7,4,IF(E102=Lookups!$C$8,5,0)))))</f>
        <v>0</v>
      </c>
      <c r="S102" t="s">
        <v>65</v>
      </c>
      <c r="U102" s="13">
        <f>IF(I102=Lookups!$B$4,1,IF(I102=Lookups!$B$5,2,IF(I102=Lookups!$B$6,3,IF(I102=Lookups!$B$7,4,IF(I102=Lookups!$B$8,5,0)))))</f>
        <v>0</v>
      </c>
      <c r="V102" s="13">
        <f>IF(J102=Lookups!$C$4,1,IF(J102=Lookups!$C$5,2,IF(J102=Lookups!$C$6,3,IF(J102=Lookups!$C$7,4,IF(J102=Lookups!$C$8,5,0)))))</f>
        <v>0</v>
      </c>
    </row>
    <row r="103" spans="2:22" ht="72.5" x14ac:dyDescent="0.35">
      <c r="B103" s="21" t="s">
        <v>179</v>
      </c>
      <c r="C103" s="8" t="s">
        <v>180</v>
      </c>
      <c r="D103" s="4"/>
      <c r="E103" s="4"/>
      <c r="F103" s="4" t="str">
        <f>IF(P103*Q103=0,$S$15,VLOOKUP(Q103,Lookups!$D$4:$J$8,'Design Phase'!P103+2))</f>
        <v>Select L  &amp; C</v>
      </c>
      <c r="G103" s="5"/>
      <c r="H103" s="5"/>
      <c r="I103" s="4"/>
      <c r="J103" s="4"/>
      <c r="K103" s="4" t="str">
        <f>IF(U103*V103=0,$S$15,VLOOKUP(V103,Lookups!$D$4:$J$8,'Design Phase'!U103+2))</f>
        <v>Select L  &amp; C</v>
      </c>
      <c r="L103" s="11"/>
      <c r="M103" s="10"/>
      <c r="N103" s="10"/>
      <c r="P103" s="13">
        <f>IF(D103=Lookups!$B$4,1,IF(D103=Lookups!$B$5,2,IF(D103=Lookups!$B$6,3,IF(D103=Lookups!$B$7,4,IF(D103=Lookups!$B$8,5,0)))))</f>
        <v>0</v>
      </c>
      <c r="Q103" s="13">
        <f>IF(E103=Lookups!$C$4,1,IF(E103=Lookups!$C$5,2,IF(E103=Lookups!$C$6,3,IF(E103=Lookups!$C$7,4,IF(E103=Lookups!$C$8,5,0)))))</f>
        <v>0</v>
      </c>
      <c r="S103" t="s">
        <v>65</v>
      </c>
      <c r="U103" s="13">
        <f>IF(I103=Lookups!$B$4,1,IF(I103=Lookups!$B$5,2,IF(I103=Lookups!$B$6,3,IF(I103=Lookups!$B$7,4,IF(I103=Lookups!$B$8,5,0)))))</f>
        <v>0</v>
      </c>
      <c r="V103" s="13">
        <f>IF(J103=Lookups!$C$4,1,IF(J103=Lookups!$C$5,2,IF(J103=Lookups!$C$6,3,IF(J103=Lookups!$C$7,4,IF(J103=Lookups!$C$8,5,0)))))</f>
        <v>0</v>
      </c>
    </row>
    <row r="104" spans="2:22" x14ac:dyDescent="0.35">
      <c r="B104" s="27" t="s">
        <v>120</v>
      </c>
      <c r="C104" s="35"/>
      <c r="D104" s="35"/>
      <c r="E104" s="35"/>
      <c r="F104" s="35"/>
      <c r="G104" s="35"/>
      <c r="H104" s="35"/>
      <c r="I104" s="35"/>
      <c r="J104" s="35"/>
      <c r="K104" s="35"/>
      <c r="L104" s="35"/>
      <c r="M104" s="35"/>
      <c r="N104" s="28"/>
      <c r="P104" s="13">
        <f>IF(D104=Lookups!$B$4,1,IF(D104=Lookups!$B$5,2,IF(D104=Lookups!$B$6,3,IF(D104=Lookups!$B$7,4,IF(D104=Lookups!$B$8,5,0)))))</f>
        <v>0</v>
      </c>
      <c r="Q104" s="13">
        <f>IF(E104=Lookups!$C$4,1,IF(E104=Lookups!$C$5,2,IF(E104=Lookups!$C$6,3,IF(E104=Lookups!$C$7,4,IF(E104=Lookups!$C$8,5,0)))))</f>
        <v>0</v>
      </c>
      <c r="U104" s="13">
        <f>IF(I104=Lookups!$B$4,1,IF(I104=Lookups!$B$5,2,IF(I104=Lookups!$B$6,3,IF(I104=Lookups!$B$7,4,IF(I104=Lookups!$B$8,5,0)))))</f>
        <v>0</v>
      </c>
      <c r="V104" s="13">
        <f>IF(J104=Lookups!$C$4,1,IF(J104=Lookups!$C$5,2,IF(J104=Lookups!$C$6,3,IF(J104=Lookups!$C$7,4,IF(J104=Lookups!$C$8,5,0)))))</f>
        <v>0</v>
      </c>
    </row>
    <row r="105" spans="2:22" x14ac:dyDescent="0.35">
      <c r="B105" s="43" t="s">
        <v>149</v>
      </c>
      <c r="C105" s="44"/>
      <c r="D105" s="44"/>
      <c r="E105" s="44"/>
      <c r="F105" s="44"/>
      <c r="G105" s="44"/>
      <c r="H105" s="44"/>
      <c r="I105" s="44"/>
      <c r="J105" s="44"/>
      <c r="K105" s="44"/>
      <c r="L105" s="44"/>
      <c r="M105" s="44"/>
      <c r="N105" s="45"/>
    </row>
    <row r="106" spans="2:22" ht="114" customHeight="1" x14ac:dyDescent="0.35">
      <c r="B106" s="16" t="s">
        <v>121</v>
      </c>
      <c r="C106" s="8" t="s">
        <v>122</v>
      </c>
      <c r="D106" s="4"/>
      <c r="E106" s="4"/>
      <c r="F106" s="4" t="str">
        <f>IF(P106*Q106=0,$S$15,VLOOKUP(Q106,Lookups!$D$4:$J$8,'Design Phase'!P106+2))</f>
        <v>Select L  &amp; C</v>
      </c>
      <c r="G106" s="5"/>
      <c r="H106" s="5"/>
      <c r="I106" s="4"/>
      <c r="J106" s="4"/>
      <c r="K106" s="4" t="str">
        <f>IF(U106*V106=0,$S$15,VLOOKUP(V106,Lookups!$D$4:$J$8,'Design Phase'!U106+2))</f>
        <v>Select L  &amp; C</v>
      </c>
      <c r="L106" s="4"/>
      <c r="M106" s="5"/>
      <c r="N106" s="5"/>
      <c r="P106" s="13">
        <f>IF(D106=Lookups!$B$4,1,IF(D106=Lookups!$B$5,2,IF(D106=Lookups!$B$6,3,IF(D106=Lookups!$B$7,4,IF(D106=Lookups!$B$8,5,0)))))</f>
        <v>0</v>
      </c>
      <c r="Q106" s="13">
        <f>IF(E106=Lookups!$C$4,1,IF(E106=Lookups!$C$5,2,IF(E106=Lookups!$C$6,3,IF(E106=Lookups!$C$7,4,IF(E106=Lookups!$C$8,5,0)))))</f>
        <v>0</v>
      </c>
      <c r="U106" s="13">
        <f>IF(I106=Lookups!$B$4,1,IF(I106=Lookups!$B$5,2,IF(I106=Lookups!$B$6,3,IF(I106=Lookups!$B$7,4,IF(I106=Lookups!$B$8,5,0)))))</f>
        <v>0</v>
      </c>
      <c r="V106" s="13">
        <f>IF(J106=Lookups!$C$4,1,IF(J106=Lookups!$C$5,2,IF(J106=Lookups!$C$6,3,IF(J106=Lookups!$C$7,4,IF(J106=Lookups!$C$8,5,0)))))</f>
        <v>0</v>
      </c>
    </row>
    <row r="107" spans="2:22" x14ac:dyDescent="0.35">
      <c r="B107" s="27" t="s">
        <v>123</v>
      </c>
      <c r="C107" s="35"/>
      <c r="D107" s="35"/>
      <c r="E107" s="35"/>
      <c r="F107" s="35"/>
      <c r="G107" s="35"/>
      <c r="H107" s="35"/>
      <c r="I107" s="35"/>
      <c r="J107" s="35"/>
      <c r="K107" s="35"/>
      <c r="L107" s="35"/>
      <c r="M107" s="35"/>
      <c r="N107" s="28"/>
      <c r="P107" s="13">
        <f>IF(D107=Lookups!$B$4,1,IF(D107=Lookups!$B$5,2,IF(D107=Lookups!$B$6,3,IF(D107=Lookups!$B$7,4,IF(D107=Lookups!$B$8,5,0)))))</f>
        <v>0</v>
      </c>
      <c r="Q107" s="13">
        <f>IF(E107=Lookups!$C$4,1,IF(E107=Lookups!$C$5,2,IF(E107=Lookups!$C$6,3,IF(E107=Lookups!$C$7,4,IF(E107=Lookups!$C$8,5,0)))))</f>
        <v>0</v>
      </c>
      <c r="U107" s="13">
        <f>IF(I107=Lookups!$B$4,1,IF(I107=Lookups!$B$5,2,IF(I107=Lookups!$B$6,3,IF(I107=Lookups!$B$7,4,IF(I107=Lookups!$B$8,5,0)))))</f>
        <v>0</v>
      </c>
      <c r="V107" s="13">
        <f>IF(J107=Lookups!$C$4,1,IF(J107=Lookups!$C$5,2,IF(J107=Lookups!$C$6,3,IF(J107=Lookups!$C$7,4,IF(J107=Lookups!$C$8,5,0)))))</f>
        <v>0</v>
      </c>
    </row>
    <row r="108" spans="2:22" x14ac:dyDescent="0.35">
      <c r="B108" s="43" t="s">
        <v>149</v>
      </c>
      <c r="C108" s="44"/>
      <c r="D108" s="44"/>
      <c r="E108" s="44"/>
      <c r="F108" s="44"/>
      <c r="G108" s="44"/>
      <c r="H108" s="44"/>
      <c r="I108" s="44"/>
      <c r="J108" s="44"/>
      <c r="K108" s="44"/>
      <c r="L108" s="44"/>
      <c r="M108" s="44"/>
      <c r="N108" s="45"/>
    </row>
    <row r="109" spans="2:22" ht="72.5" x14ac:dyDescent="0.35">
      <c r="B109" s="16" t="s">
        <v>124</v>
      </c>
      <c r="C109" s="8" t="s">
        <v>125</v>
      </c>
      <c r="D109" s="4"/>
      <c r="E109" s="4"/>
      <c r="F109" s="4" t="str">
        <f>IF(P109*Q109=0,$S$15,VLOOKUP(Q109,Lookups!$D$4:$J$8,'Design Phase'!P109+2))</f>
        <v>Select L  &amp; C</v>
      </c>
      <c r="G109" s="5"/>
      <c r="H109" s="5"/>
      <c r="I109" s="4"/>
      <c r="J109" s="4"/>
      <c r="K109" s="4" t="str">
        <f>IF(U109*V109=0,$S$15,VLOOKUP(V109,Lookups!$D$4:$J$8,'Design Phase'!U109+2))</f>
        <v>Select L  &amp; C</v>
      </c>
      <c r="L109" s="4"/>
      <c r="M109" s="5"/>
      <c r="N109" s="5"/>
      <c r="P109" s="13">
        <f>IF(D109=Lookups!$B$4,1,IF(D109=Lookups!$B$5,2,IF(D109=Lookups!$B$6,3,IF(D109=Lookups!$B$7,4,IF(D109=Lookups!$B$8,5,0)))))</f>
        <v>0</v>
      </c>
      <c r="Q109" s="13">
        <f>IF(E109=Lookups!$C$4,1,IF(E109=Lookups!$C$5,2,IF(E109=Lookups!$C$6,3,IF(E109=Lookups!$C$7,4,IF(E109=Lookups!$C$8,5,0)))))</f>
        <v>0</v>
      </c>
      <c r="U109" s="13">
        <f>IF(I109=Lookups!$B$4,1,IF(I109=Lookups!$B$5,2,IF(I109=Lookups!$B$6,3,IF(I109=Lookups!$B$7,4,IF(I109=Lookups!$B$8,5,0)))))</f>
        <v>0</v>
      </c>
      <c r="V109" s="13">
        <f>IF(J109=Lookups!$C$4,1,IF(J109=Lookups!$C$5,2,IF(J109=Lookups!$C$6,3,IF(J109=Lookups!$C$7,4,IF(J109=Lookups!$C$8,5,0)))))</f>
        <v>0</v>
      </c>
    </row>
    <row r="110" spans="2:22" x14ac:dyDescent="0.35">
      <c r="B110" s="27" t="s">
        <v>144</v>
      </c>
      <c r="C110" s="35"/>
      <c r="D110" s="35"/>
      <c r="E110" s="35"/>
      <c r="F110" s="35"/>
      <c r="G110" s="35"/>
      <c r="H110" s="35"/>
      <c r="I110" s="35"/>
      <c r="J110" s="35"/>
      <c r="K110" s="35"/>
      <c r="L110" s="35"/>
      <c r="M110" s="35"/>
      <c r="N110" s="28"/>
      <c r="P110" s="13">
        <f>IF(D110=Lookups!$B$4,1,IF(D110=Lookups!$B$5,2,IF(D110=Lookups!$B$6,3,IF(D110=Lookups!$B$7,4,IF(D110=Lookups!$B$8,5,0)))))</f>
        <v>0</v>
      </c>
      <c r="Q110" s="13">
        <f>IF(E110=Lookups!$C$4,1,IF(E110=Lookups!$C$5,2,IF(E110=Lookups!$C$6,3,IF(E110=Lookups!$C$7,4,IF(E110=Lookups!$C$8,5,0)))))</f>
        <v>0</v>
      </c>
      <c r="U110" s="13">
        <f>IF(I110=Lookups!$B$4,1,IF(I110=Lookups!$B$5,2,IF(I110=Lookups!$B$6,3,IF(I110=Lookups!$B$7,4,IF(I110=Lookups!$B$8,5,0)))))</f>
        <v>0</v>
      </c>
      <c r="V110" s="13">
        <f>IF(J110=Lookups!$C$4,1,IF(J110=Lookups!$C$5,2,IF(J110=Lookups!$C$6,3,IF(J110=Lookups!$C$7,4,IF(J110=Lookups!$C$8,5,0)))))</f>
        <v>0</v>
      </c>
    </row>
    <row r="111" spans="2:22" x14ac:dyDescent="0.35">
      <c r="B111" s="43" t="s">
        <v>149</v>
      </c>
      <c r="C111" s="44"/>
      <c r="D111" s="44"/>
      <c r="E111" s="44"/>
      <c r="F111" s="44"/>
      <c r="G111" s="44"/>
      <c r="H111" s="44"/>
      <c r="I111" s="44"/>
      <c r="J111" s="44"/>
      <c r="K111" s="44"/>
      <c r="L111" s="44"/>
      <c r="M111" s="44"/>
      <c r="N111" s="45"/>
    </row>
    <row r="112" spans="2:22" ht="58" x14ac:dyDescent="0.35">
      <c r="B112" s="8" t="s">
        <v>145</v>
      </c>
      <c r="C112" s="8" t="s">
        <v>170</v>
      </c>
      <c r="D112" s="4"/>
      <c r="E112" s="4"/>
      <c r="F112" s="4" t="str">
        <f>IF(P112*Q112=0,$S$15,VLOOKUP(Q112,Lookups!$D$4:$J$8,'Design Phase'!P112+2))</f>
        <v>Select L  &amp; C</v>
      </c>
      <c r="G112" s="5"/>
      <c r="H112" s="5"/>
      <c r="I112" s="4"/>
      <c r="J112" s="4"/>
      <c r="K112" s="4"/>
      <c r="L112" s="4"/>
      <c r="M112" s="5"/>
      <c r="N112" s="5"/>
    </row>
    <row r="113" spans="2:22" x14ac:dyDescent="0.35">
      <c r="B113" s="27" t="s">
        <v>171</v>
      </c>
      <c r="C113" s="35"/>
      <c r="D113" s="35"/>
      <c r="E113" s="35"/>
      <c r="F113" s="35"/>
      <c r="G113" s="35"/>
      <c r="H113" s="35"/>
      <c r="I113" s="35"/>
      <c r="J113" s="35"/>
      <c r="K113" s="35"/>
      <c r="L113" s="35"/>
      <c r="M113" s="35"/>
      <c r="N113" s="28"/>
      <c r="P113" s="13">
        <f>IF(D113=Lookups!$B$4,1,IF(D113=Lookups!$B$5,2,IF(D113=Lookups!$B$6,3,IF(D113=Lookups!$B$7,4,IF(D113=Lookups!$B$8,5,0)))))</f>
        <v>0</v>
      </c>
      <c r="Q113" s="13">
        <f>IF(E113=Lookups!$C$4,1,IF(E113=Lookups!$C$5,2,IF(E113=Lookups!$C$6,3,IF(E113=Lookups!$C$7,4,IF(E113=Lookups!$C$8,5,0)))))</f>
        <v>0</v>
      </c>
      <c r="U113" s="13">
        <f>IF(I113=Lookups!$B$4,1,IF(I113=Lookups!$B$5,2,IF(I113=Lookups!$B$6,3,IF(I113=Lookups!$B$7,4,IF(I113=Lookups!$B$8,5,0)))))</f>
        <v>0</v>
      </c>
      <c r="V113" s="13">
        <f>IF(J113=Lookups!$C$4,1,IF(J113=Lookups!$C$5,2,IF(J113=Lookups!$C$6,3,IF(J113=Lookups!$C$7,4,IF(J113=Lookups!$C$8,5,0)))))</f>
        <v>0</v>
      </c>
    </row>
    <row r="114" spans="2:22" ht="86.15" customHeight="1" x14ac:dyDescent="0.35">
      <c r="B114" s="29" t="s">
        <v>172</v>
      </c>
      <c r="C114" s="8" t="s">
        <v>173</v>
      </c>
      <c r="D114" s="4"/>
      <c r="E114" s="4"/>
      <c r="F114" s="4" t="str">
        <f>IF(P114*Q114=0,$S$15,VLOOKUP(Q114,Lookups!$D$4:$J$8,'Design Phase'!P114+2))</f>
        <v>Select L  &amp; C</v>
      </c>
      <c r="G114" s="5"/>
      <c r="H114" s="5"/>
      <c r="I114" s="4"/>
      <c r="J114" s="4"/>
      <c r="K114" s="4"/>
      <c r="L114" s="4"/>
      <c r="M114" s="5"/>
      <c r="N114" s="5"/>
    </row>
    <row r="115" spans="2:22" ht="29" x14ac:dyDescent="0.35">
      <c r="B115" s="30"/>
      <c r="C115" s="8" t="s">
        <v>174</v>
      </c>
      <c r="D115" s="4"/>
      <c r="E115" s="4"/>
      <c r="F115" s="4" t="str">
        <f>IF(P115*Q115=0,$S$15,VLOOKUP(Q115,Lookups!$D$4:$J$8,'Design Phase'!P115+2))</f>
        <v>Select L  &amp; C</v>
      </c>
      <c r="G115" s="5"/>
      <c r="H115" s="5"/>
      <c r="I115" s="4"/>
      <c r="J115" s="4"/>
      <c r="K115" s="4"/>
      <c r="L115" s="4"/>
      <c r="M115" s="5"/>
      <c r="N115" s="5"/>
    </row>
    <row r="116" spans="2:22" ht="43.5" x14ac:dyDescent="0.35">
      <c r="B116" s="8" t="s">
        <v>182</v>
      </c>
      <c r="C116" s="8" t="s">
        <v>181</v>
      </c>
      <c r="D116" s="4"/>
      <c r="E116" s="4"/>
      <c r="F116" s="4" t="str">
        <f>IF(P116*Q116=0,$S$15,VLOOKUP(Q116,Lookups!$D$4:$J$8,'Design Phase'!P116+2))</f>
        <v>Select L  &amp; C</v>
      </c>
      <c r="G116" s="5"/>
      <c r="H116" s="5"/>
      <c r="I116" s="4"/>
      <c r="J116" s="4"/>
      <c r="K116" s="4" t="str">
        <f>IF(U116*V116=0,$S$15,VLOOKUP(V116,Lookups!$D$4:$J$8,'Design Phase'!U116+2))</f>
        <v>Select L  &amp; C</v>
      </c>
      <c r="L116" s="4"/>
      <c r="M116" s="5"/>
      <c r="N116" s="5"/>
      <c r="P116" s="13">
        <f>IF(D116=Lookups!$B$4,1,IF(D116=Lookups!$B$5,2,IF(D116=Lookups!$B$6,3,IF(D116=Lookups!$B$7,4,IF(D116=Lookups!$B$8,5,0)))))</f>
        <v>0</v>
      </c>
      <c r="Q116" s="13">
        <f>IF(E116=Lookups!$C$4,1,IF(E116=Lookups!$C$5,2,IF(E116=Lookups!$C$6,3,IF(E116=Lookups!$C$7,4,IF(E116=Lookups!$C$8,5,0)))))</f>
        <v>0</v>
      </c>
      <c r="U116" s="13">
        <f>IF(I116=Lookups!$B$4,1,IF(I116=Lookups!$B$5,2,IF(I116=Lookups!$B$6,3,IF(I116=Lookups!$B$7,4,IF(I116=Lookups!$B$8,5,0)))))</f>
        <v>0</v>
      </c>
      <c r="V116" s="13">
        <f>IF(J116=Lookups!$C$4,1,IF(J116=Lookups!$C$5,2,IF(J116=Lookups!$C$6,3,IF(J116=Lookups!$C$7,4,IF(J116=Lookups!$C$8,5,0)))))</f>
        <v>0</v>
      </c>
    </row>
    <row r="117" spans="2:22" ht="58" x14ac:dyDescent="0.35">
      <c r="B117" s="8" t="s">
        <v>183</v>
      </c>
      <c r="C117" s="8" t="s">
        <v>181</v>
      </c>
      <c r="D117" s="4"/>
      <c r="E117" s="4"/>
      <c r="F117" s="4" t="str">
        <f>IF(P117*Q117=0,$S$15,VLOOKUP(Q117,Lookups!$D$4:$J$8,'Design Phase'!P117+2))</f>
        <v>Select L  &amp; C</v>
      </c>
      <c r="G117" s="5"/>
      <c r="H117" s="5"/>
      <c r="I117" s="4"/>
      <c r="J117" s="4"/>
      <c r="K117" s="4" t="str">
        <f>IF(U117*V117=0,$S$15,VLOOKUP(V117,Lookups!$D$4:$J$8,'Design Phase'!U117+2))</f>
        <v>Select L  &amp; C</v>
      </c>
      <c r="L117" s="4"/>
      <c r="M117" s="5"/>
      <c r="N117" s="5"/>
      <c r="P117" s="13">
        <f>IF(D117=Lookups!$B$4,1,IF(D117=Lookups!$B$5,2,IF(D117=Lookups!$B$6,3,IF(D117=Lookups!$B$7,4,IF(D117=Lookups!$B$8,5,0)))))</f>
        <v>0</v>
      </c>
      <c r="Q117" s="13">
        <f>IF(E117=Lookups!$C$4,1,IF(E117=Lookups!$C$5,2,IF(E117=Lookups!$C$6,3,IF(E117=Lookups!$C$7,4,IF(E117=Lookups!$C$8,5,0)))))</f>
        <v>0</v>
      </c>
      <c r="U117" s="13">
        <f>IF(I117=Lookups!$B$4,1,IF(I117=Lookups!$B$5,2,IF(I117=Lookups!$B$6,3,IF(I117=Lookups!$B$7,4,IF(I117=Lookups!$B$8,5,0)))))</f>
        <v>0</v>
      </c>
      <c r="V117" s="13">
        <f>IF(J117=Lookups!$C$4,1,IF(J117=Lookups!$C$5,2,IF(J117=Lookups!$C$6,3,IF(J117=Lookups!$C$7,4,IF(J117=Lookups!$C$8,5,0)))))</f>
        <v>0</v>
      </c>
    </row>
    <row r="118" spans="2:22" ht="101.5" x14ac:dyDescent="0.35">
      <c r="B118" s="8" t="s">
        <v>184</v>
      </c>
      <c r="C118" s="8" t="s">
        <v>181</v>
      </c>
      <c r="D118" s="4"/>
      <c r="E118" s="4"/>
      <c r="F118" s="4" t="str">
        <f>IF(P118*Q118=0,$S$15,VLOOKUP(Q118,Lookups!$D$4:$J$8,'Design Phase'!P118+2))</f>
        <v>Select L  &amp; C</v>
      </c>
      <c r="G118" s="5"/>
      <c r="H118" s="5"/>
      <c r="I118" s="4"/>
      <c r="J118" s="4"/>
      <c r="K118" s="4" t="str">
        <f>IF(U118*V118=0,$S$15,VLOOKUP(V118,Lookups!$D$4:$J$8,'Design Phase'!U118+2))</f>
        <v>Select L  &amp; C</v>
      </c>
      <c r="L118" s="4"/>
      <c r="M118" s="5"/>
      <c r="N118" s="5"/>
      <c r="P118" s="13">
        <f>IF(D118=Lookups!$B$4,1,IF(D118=Lookups!$B$5,2,IF(D118=Lookups!$B$6,3,IF(D118=Lookups!$B$7,4,IF(D118=Lookups!$B$8,5,0)))))</f>
        <v>0</v>
      </c>
      <c r="Q118" s="13">
        <f>IF(E118=Lookups!$C$4,1,IF(E118=Lookups!$C$5,2,IF(E118=Lookups!$C$6,3,IF(E118=Lookups!$C$7,4,IF(E118=Lookups!$C$8,5,0)))))</f>
        <v>0</v>
      </c>
      <c r="U118" s="13">
        <f>IF(I118=Lookups!$B$4,1,IF(I118=Lookups!$B$5,2,IF(I118=Lookups!$B$6,3,IF(I118=Lookups!$B$7,4,IF(I118=Lookups!$B$8,5,0)))))</f>
        <v>0</v>
      </c>
      <c r="V118" s="13">
        <f>IF(J118=Lookups!$C$4,1,IF(J118=Lookups!$C$5,2,IF(J118=Lookups!$C$6,3,IF(J118=Lookups!$C$7,4,IF(J118=Lookups!$C$8,5,0)))))</f>
        <v>0</v>
      </c>
    </row>
    <row r="119" spans="2:22" x14ac:dyDescent="0.35">
      <c r="B119" s="22"/>
      <c r="D119" s="23"/>
      <c r="E119" s="23"/>
      <c r="F119" s="23"/>
      <c r="I119" s="23"/>
      <c r="J119" s="23"/>
      <c r="K119" s="23"/>
      <c r="L119" s="23"/>
    </row>
  </sheetData>
  <mergeCells count="51">
    <mergeCell ref="B111:N111"/>
    <mergeCell ref="B84:N84"/>
    <mergeCell ref="B75:N75"/>
    <mergeCell ref="B88:N88"/>
    <mergeCell ref="B99:N99"/>
    <mergeCell ref="B79:N79"/>
    <mergeCell ref="B68:B69"/>
    <mergeCell ref="B70:N70"/>
    <mergeCell ref="B72:B74"/>
    <mergeCell ref="B105:N105"/>
    <mergeCell ref="B108:N108"/>
    <mergeCell ref="B32:N32"/>
    <mergeCell ref="B46:N46"/>
    <mergeCell ref="B33:B35"/>
    <mergeCell ref="B113:N113"/>
    <mergeCell ref="B114:B115"/>
    <mergeCell ref="B54:N54"/>
    <mergeCell ref="B58:N58"/>
    <mergeCell ref="B63:N63"/>
    <mergeCell ref="B67:N67"/>
    <mergeCell ref="B71:N71"/>
    <mergeCell ref="B80:N80"/>
    <mergeCell ref="B87:N87"/>
    <mergeCell ref="B94:B95"/>
    <mergeCell ref="B104:N104"/>
    <mergeCell ref="B107:N107"/>
    <mergeCell ref="B110:N110"/>
    <mergeCell ref="B62:N62"/>
    <mergeCell ref="B66:N66"/>
    <mergeCell ref="B36:B37"/>
    <mergeCell ref="B38:B41"/>
    <mergeCell ref="B42:B43"/>
    <mergeCell ref="B44:B45"/>
    <mergeCell ref="B48:N48"/>
    <mergeCell ref="B53:N53"/>
    <mergeCell ref="B49:N49"/>
    <mergeCell ref="B51:N51"/>
    <mergeCell ref="M7:N7"/>
    <mergeCell ref="B9:N9"/>
    <mergeCell ref="B11:B17"/>
    <mergeCell ref="B18:B19"/>
    <mergeCell ref="B31:N31"/>
    <mergeCell ref="L7:L8"/>
    <mergeCell ref="B10:N10"/>
    <mergeCell ref="B24:N24"/>
    <mergeCell ref="B22:B23"/>
    <mergeCell ref="D2:F2"/>
    <mergeCell ref="B7:C7"/>
    <mergeCell ref="D7:F7"/>
    <mergeCell ref="G7:H7"/>
    <mergeCell ref="I7:K7"/>
  </mergeCells>
  <conditionalFormatting sqref="F11:F23 K11:K23 F25:F30 K25:K30 F33:F45 F50 F55:F57 F59:F61 K59:K61 F64:F65 F68:F69 F72:F74 K72:K74 F76:F78 K76:K78 F81 K81:K83 F89:F98 K89:K98 F106 F109 K112">
    <cfRule type="cellIs" dxfId="197" priority="156" operator="equal">
      <formula>$S$15</formula>
    </cfRule>
    <cfRule type="cellIs" dxfId="196" priority="154" operator="equal">
      <formula>$S$11</formula>
    </cfRule>
    <cfRule type="cellIs" dxfId="195" priority="153" operator="equal">
      <formula>$S$12</formula>
    </cfRule>
    <cfRule type="cellIs" dxfId="194" priority="152" operator="equal">
      <formula>$S$13</formula>
    </cfRule>
    <cfRule type="cellIs" dxfId="193" priority="155" operator="equal">
      <formula>$S$9</formula>
    </cfRule>
  </conditionalFormatting>
  <conditionalFormatting sqref="F47 K47">
    <cfRule type="cellIs" dxfId="192" priority="76" operator="equal">
      <formula>$S$11</formula>
    </cfRule>
    <cfRule type="cellIs" dxfId="191" priority="78" operator="equal">
      <formula>$S$15</formula>
    </cfRule>
    <cfRule type="cellIs" dxfId="190" priority="77" operator="equal">
      <formula>$S$9</formula>
    </cfRule>
    <cfRule type="cellIs" dxfId="189" priority="75" operator="equal">
      <formula>$S$12</formula>
    </cfRule>
    <cfRule type="cellIs" dxfId="188" priority="74" operator="equal">
      <formula>$S$13</formula>
    </cfRule>
    <cfRule type="cellIs" dxfId="187" priority="73" operator="equal">
      <formula>$S$14</formula>
    </cfRule>
  </conditionalFormatting>
  <conditionalFormatting sqref="F52 K52">
    <cfRule type="cellIs" dxfId="186" priority="68" operator="equal">
      <formula>$S$13</formula>
    </cfRule>
    <cfRule type="cellIs" dxfId="185" priority="67" operator="equal">
      <formula>$S$14</formula>
    </cfRule>
    <cfRule type="cellIs" dxfId="184" priority="72" operator="equal">
      <formula>$S$15</formula>
    </cfRule>
    <cfRule type="cellIs" dxfId="183" priority="71" operator="equal">
      <formula>$S$9</formula>
    </cfRule>
    <cfRule type="cellIs" dxfId="182" priority="70" operator="equal">
      <formula>$S$11</formula>
    </cfRule>
    <cfRule type="cellIs" dxfId="181" priority="69" operator="equal">
      <formula>$S$12</formula>
    </cfRule>
  </conditionalFormatting>
  <conditionalFormatting sqref="F61 K61">
    <cfRule type="cellIs" dxfId="180" priority="24" operator="equal">
      <formula>$S$15</formula>
    </cfRule>
    <cfRule type="cellIs" dxfId="179" priority="19" operator="equal">
      <formula>$S$14</formula>
    </cfRule>
    <cfRule type="cellIs" dxfId="178" priority="20" operator="equal">
      <formula>$S$13</formula>
    </cfRule>
    <cfRule type="cellIs" dxfId="177" priority="21" operator="equal">
      <formula>$S$12</formula>
    </cfRule>
    <cfRule type="cellIs" dxfId="176" priority="22" operator="equal">
      <formula>$S$11</formula>
    </cfRule>
    <cfRule type="cellIs" dxfId="175" priority="23" operator="equal">
      <formula>$S$9</formula>
    </cfRule>
  </conditionalFormatting>
  <conditionalFormatting sqref="F81 K81:K83 F59:F61 K59:K61 F11:F23 K11:K23 F25:F30 K25:K30 F33:F45 F50 F55:F57 F64:F65 F68:F69 F72:F74 K72:K74 F76:F78 K76:K78 F89:F98 K89:K98 F106 F109 K112">
    <cfRule type="cellIs" dxfId="174" priority="151" operator="equal">
      <formula>$S$14</formula>
    </cfRule>
  </conditionalFormatting>
  <conditionalFormatting sqref="F81:F82">
    <cfRule type="cellIs" dxfId="173" priority="120" operator="equal">
      <formula>$S$15</formula>
    </cfRule>
    <cfRule type="cellIs" dxfId="172" priority="119" operator="equal">
      <formula>$S$9</formula>
    </cfRule>
    <cfRule type="cellIs" dxfId="171" priority="118" operator="equal">
      <formula>$S$11</formula>
    </cfRule>
    <cfRule type="cellIs" dxfId="170" priority="117" operator="equal">
      <formula>$S$12</formula>
    </cfRule>
    <cfRule type="cellIs" dxfId="169" priority="116" operator="equal">
      <formula>$S$13</formula>
    </cfRule>
    <cfRule type="cellIs" dxfId="168" priority="115" operator="equal">
      <formula>$S$14</formula>
    </cfRule>
  </conditionalFormatting>
  <conditionalFormatting sqref="F82:F83">
    <cfRule type="cellIs" dxfId="167" priority="99" operator="equal">
      <formula>$S$12</formula>
    </cfRule>
    <cfRule type="cellIs" dxfId="166" priority="98" operator="equal">
      <formula>$S$13</formula>
    </cfRule>
    <cfRule type="cellIs" dxfId="165" priority="97" operator="equal">
      <formula>$S$14</formula>
    </cfRule>
    <cfRule type="cellIs" dxfId="164" priority="102" operator="equal">
      <formula>$S$15</formula>
    </cfRule>
    <cfRule type="cellIs" dxfId="163" priority="101" operator="equal">
      <formula>$S$9</formula>
    </cfRule>
    <cfRule type="cellIs" dxfId="162" priority="100" operator="equal">
      <formula>$S$11</formula>
    </cfRule>
  </conditionalFormatting>
  <conditionalFormatting sqref="F83">
    <cfRule type="cellIs" dxfId="161" priority="93" operator="equal">
      <formula>$S$12</formula>
    </cfRule>
    <cfRule type="cellIs" dxfId="160" priority="96" operator="equal">
      <formula>$S$15</formula>
    </cfRule>
    <cfRule type="cellIs" dxfId="159" priority="95" operator="equal">
      <formula>$S$9</formula>
    </cfRule>
    <cfRule type="cellIs" dxfId="158" priority="94" operator="equal">
      <formula>$S$11</formula>
    </cfRule>
    <cfRule type="cellIs" dxfId="157" priority="92" operator="equal">
      <formula>$S$13</formula>
    </cfRule>
    <cfRule type="cellIs" dxfId="156" priority="91" operator="equal">
      <formula>$S$14</formula>
    </cfRule>
  </conditionalFormatting>
  <conditionalFormatting sqref="F85:F86 K85:K86">
    <cfRule type="cellIs" dxfId="155" priority="28" operator="equal">
      <formula>$S$11</formula>
    </cfRule>
    <cfRule type="cellIs" dxfId="154" priority="29" operator="equal">
      <formula>$S$9</formula>
    </cfRule>
    <cfRule type="cellIs" dxfId="153" priority="30" operator="equal">
      <formula>$S$15</formula>
    </cfRule>
    <cfRule type="cellIs" dxfId="152" priority="27" operator="equal">
      <formula>$S$12</formula>
    </cfRule>
    <cfRule type="cellIs" dxfId="151" priority="26" operator="equal">
      <formula>$S$13</formula>
    </cfRule>
    <cfRule type="cellIs" dxfId="150" priority="25" operator="equal">
      <formula>$S$14</formula>
    </cfRule>
  </conditionalFormatting>
  <conditionalFormatting sqref="F100:F103 K100:K103">
    <cfRule type="cellIs" dxfId="149" priority="32" operator="equal">
      <formula>$S$13</formula>
    </cfRule>
    <cfRule type="cellIs" dxfId="148" priority="31" operator="equal">
      <formula>$S$14</formula>
    </cfRule>
    <cfRule type="cellIs" dxfId="147" priority="36" operator="equal">
      <formula>$S$15</formula>
    </cfRule>
    <cfRule type="cellIs" dxfId="146" priority="35" operator="equal">
      <formula>$S$9</formula>
    </cfRule>
    <cfRule type="cellIs" dxfId="145" priority="34" operator="equal">
      <formula>$S$11</formula>
    </cfRule>
    <cfRule type="cellIs" dxfId="144" priority="33" operator="equal">
      <formula>$S$12</formula>
    </cfRule>
  </conditionalFormatting>
  <conditionalFormatting sqref="F112">
    <cfRule type="cellIs" dxfId="143" priority="13" operator="equal">
      <formula>$S$14</formula>
    </cfRule>
    <cfRule type="cellIs" dxfId="142" priority="14" operator="equal">
      <formula>$S$13</formula>
    </cfRule>
    <cfRule type="cellIs" dxfId="141" priority="15" operator="equal">
      <formula>$S$12</formula>
    </cfRule>
    <cfRule type="cellIs" dxfId="140" priority="16" operator="equal">
      <formula>$S$11</formula>
    </cfRule>
    <cfRule type="cellIs" dxfId="139" priority="17" operator="equal">
      <formula>$S$9</formula>
    </cfRule>
    <cfRule type="cellIs" dxfId="138" priority="18" operator="equal">
      <formula>$S$15</formula>
    </cfRule>
  </conditionalFormatting>
  <conditionalFormatting sqref="F114:F119">
    <cfRule type="cellIs" dxfId="137" priority="9" operator="equal">
      <formula>$S$12</formula>
    </cfRule>
    <cfRule type="cellIs" dxfId="136" priority="10" operator="equal">
      <formula>$S$11</formula>
    </cfRule>
    <cfRule type="cellIs" dxfId="135" priority="11" operator="equal">
      <formula>$S$9</formula>
    </cfRule>
    <cfRule type="cellIs" dxfId="134" priority="12" operator="equal">
      <formula>$S$15</formula>
    </cfRule>
    <cfRule type="cellIs" dxfId="133" priority="8" operator="equal">
      <formula>$S$13</formula>
    </cfRule>
    <cfRule type="cellIs" dxfId="132" priority="7" operator="equal">
      <formula>$S$14</formula>
    </cfRule>
  </conditionalFormatting>
  <conditionalFormatting sqref="K33:K45 K50 K55:K57 K64:K65 K68:K69">
    <cfRule type="cellIs" dxfId="131" priority="148" operator="equal">
      <formula>$S$11</formula>
    </cfRule>
    <cfRule type="cellIs" dxfId="130" priority="150" operator="equal">
      <formula>$S$15</formula>
    </cfRule>
    <cfRule type="cellIs" dxfId="129" priority="149" operator="equal">
      <formula>$S$9</formula>
    </cfRule>
    <cfRule type="cellIs" dxfId="128" priority="145" operator="equal">
      <formula>$S$14</formula>
    </cfRule>
    <cfRule type="cellIs" dxfId="127" priority="146" operator="equal">
      <formula>$S$13</formula>
    </cfRule>
    <cfRule type="cellIs" dxfId="126" priority="147" operator="equal">
      <formula>$S$12</formula>
    </cfRule>
  </conditionalFormatting>
  <conditionalFormatting sqref="K81:K83">
    <cfRule type="cellIs" dxfId="125" priority="88" operator="equal">
      <formula>$S$11</formula>
    </cfRule>
    <cfRule type="cellIs" dxfId="124" priority="90" operator="equal">
      <formula>$S$15</formula>
    </cfRule>
    <cfRule type="cellIs" dxfId="123" priority="85" operator="equal">
      <formula>$S$14</formula>
    </cfRule>
    <cfRule type="cellIs" dxfId="122" priority="86" operator="equal">
      <formula>$S$13</formula>
    </cfRule>
    <cfRule type="cellIs" dxfId="121" priority="87" operator="equal">
      <formula>$S$12</formula>
    </cfRule>
    <cfRule type="cellIs" dxfId="120" priority="89" operator="equal">
      <formula>$S$9</formula>
    </cfRule>
  </conditionalFormatting>
  <conditionalFormatting sqref="K106">
    <cfRule type="cellIs" dxfId="119" priority="132" operator="equal">
      <formula>$S$15</formula>
    </cfRule>
    <cfRule type="cellIs" dxfId="118" priority="128" operator="equal">
      <formula>$S$13</formula>
    </cfRule>
    <cfRule type="cellIs" dxfId="117" priority="127" operator="equal">
      <formula>$S$14</formula>
    </cfRule>
    <cfRule type="cellIs" dxfId="116" priority="129" operator="equal">
      <formula>$S$12</formula>
    </cfRule>
    <cfRule type="cellIs" dxfId="115" priority="130" operator="equal">
      <formula>$S$11</formula>
    </cfRule>
    <cfRule type="cellIs" dxfId="114" priority="131" operator="equal">
      <formula>$S$9</formula>
    </cfRule>
  </conditionalFormatting>
  <conditionalFormatting sqref="K109">
    <cfRule type="cellIs" dxfId="113" priority="124" operator="equal">
      <formula>$S$11</formula>
    </cfRule>
    <cfRule type="cellIs" dxfId="112" priority="125" operator="equal">
      <formula>$S$9</formula>
    </cfRule>
    <cfRule type="cellIs" dxfId="111" priority="126" operator="equal">
      <formula>$S$15</formula>
    </cfRule>
    <cfRule type="cellIs" dxfId="110" priority="122" operator="equal">
      <formula>$S$13</formula>
    </cfRule>
    <cfRule type="cellIs" dxfId="109" priority="121" operator="equal">
      <formula>$S$14</formula>
    </cfRule>
    <cfRule type="cellIs" dxfId="108" priority="123" operator="equal">
      <formula>$S$12</formula>
    </cfRule>
  </conditionalFormatting>
  <conditionalFormatting sqref="K114:K119">
    <cfRule type="cellIs" dxfId="107" priority="51" operator="equal">
      <formula>$S$12</formula>
    </cfRule>
    <cfRule type="cellIs" dxfId="106" priority="50" operator="equal">
      <formula>$S$13</formula>
    </cfRule>
    <cfRule type="cellIs" dxfId="105" priority="49" operator="equal">
      <formula>$S$14</formula>
    </cfRule>
    <cfRule type="cellIs" dxfId="104" priority="54" operator="equal">
      <formula>$S$15</formula>
    </cfRule>
    <cfRule type="cellIs" dxfId="103" priority="53" operator="equal">
      <formula>$S$9</formula>
    </cfRule>
    <cfRule type="cellIs" dxfId="102" priority="52" operator="equal">
      <formula>$S$11</formula>
    </cfRule>
  </conditionalFormatting>
  <pageMargins left="0.7" right="0.7" top="0.75" bottom="0.75" header="0.3" footer="0.3"/>
  <pageSetup paperSize="8" scale="95"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99EEDB9-2549-4CBE-A30D-F38165046CA3}">
          <x14:formula1>
            <xm:f>Lookups!$C$4:$C$8</xm:f>
          </x14:formula1>
          <xm:sqref>E11:E23 E68:E69 J11:J23 J89:J98 E106 J106 J52 E81:E83 J109 E109 E25:E30 J25:J30 J33:J45 E33:E45 E47 J47 E50 J50 E52 J68:J69 J112 E89:E98 E55:E57 J55:J57 J64:J65 E85:E86 E112 J81:J83 J85:J86 E100:E103 J72:J74 E72:E74 E76:E78 J76:J78 J114:J119 E114:E119 E59:E61 J100:J103 J59:J61 E64:E65</xm:sqref>
        </x14:dataValidation>
        <x14:dataValidation type="list" allowBlank="1" showInputMessage="1" showErrorMessage="1" xr:uid="{7E4F6E3E-2272-425B-AA29-8CD1F3D91DB1}">
          <x14:formula1>
            <xm:f>Lookups!$B$4:$B$8</xm:f>
          </x14:formula1>
          <xm:sqref>D11:D23 D68:D69 I11:I23 I89:I98 D106 I106 I52 D81:D83 I109 D109 D25:D30 I25:I30 I33:I45 D33:D45 D47 I47 D50 I50 D52 I68:I69 I112 D89:D98 D55:D57 I55:I57 I64:I65 D85:D86 D112 I81:I83 I85:I86 D100:D103 I72:I74 D72:D74 D76:D78 I76:I78 I114:I119 D114:D119 D59:D61 I100:I103 I59:I61 D64:D65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DA5A7-E4D5-4434-AC7D-AD6D43DA3703}">
  <sheetPr>
    <pageSetUpPr fitToPage="1"/>
  </sheetPr>
  <dimension ref="B2:V92"/>
  <sheetViews>
    <sheetView showGridLines="0" zoomScale="90" zoomScaleNormal="90" workbookViewId="0">
      <selection activeCell="D10" sqref="D10"/>
    </sheetView>
  </sheetViews>
  <sheetFormatPr defaultRowHeight="14.5" x14ac:dyDescent="0.35"/>
  <cols>
    <col min="1" max="1" width="3.1796875" customWidth="1"/>
    <col min="2" max="2" width="22" style="9" bestFit="1" customWidth="1"/>
    <col min="3" max="3" width="54.7265625" style="9" bestFit="1" customWidth="1"/>
    <col min="4" max="6" width="11.81640625" customWidth="1"/>
    <col min="7" max="7" width="40" customWidth="1"/>
    <col min="8" max="8" width="28.1796875" customWidth="1"/>
    <col min="9" max="11" width="12.7265625" customWidth="1"/>
    <col min="14" max="14" width="33" customWidth="1"/>
    <col min="16" max="17" width="9" style="13" customWidth="1"/>
    <col min="18" max="20" width="9" customWidth="1"/>
    <col min="21" max="22" width="9" style="13" customWidth="1"/>
  </cols>
  <sheetData>
    <row r="2" spans="2:22" x14ac:dyDescent="0.35">
      <c r="D2" s="26"/>
      <c r="E2" s="26"/>
      <c r="F2" s="26"/>
    </row>
    <row r="7" spans="2:22" s="1" customFormat="1" x14ac:dyDescent="0.35">
      <c r="B7" s="41" t="s">
        <v>6</v>
      </c>
      <c r="C7" s="42"/>
      <c r="D7" s="36" t="s">
        <v>5</v>
      </c>
      <c r="E7" s="36"/>
      <c r="F7" s="36"/>
      <c r="G7" s="24" t="s">
        <v>7</v>
      </c>
      <c r="H7" s="25"/>
      <c r="I7" s="36" t="s">
        <v>8</v>
      </c>
      <c r="J7" s="36"/>
      <c r="K7" s="36"/>
      <c r="L7" s="37" t="s">
        <v>11</v>
      </c>
      <c r="M7" s="39" t="s">
        <v>12</v>
      </c>
      <c r="N7" s="40"/>
      <c r="P7" s="15" t="s">
        <v>69</v>
      </c>
      <c r="Q7" s="14"/>
      <c r="U7" s="15" t="s">
        <v>69</v>
      </c>
      <c r="V7" s="14"/>
    </row>
    <row r="8" spans="2:22" s="1" customFormat="1" x14ac:dyDescent="0.35">
      <c r="B8" s="7" t="s">
        <v>0</v>
      </c>
      <c r="C8" s="7" t="s">
        <v>1</v>
      </c>
      <c r="D8" s="6" t="s">
        <v>100</v>
      </c>
      <c r="E8" s="6" t="s">
        <v>101</v>
      </c>
      <c r="F8" s="6" t="s">
        <v>4</v>
      </c>
      <c r="G8" s="2" t="s">
        <v>9</v>
      </c>
      <c r="H8" s="2" t="s">
        <v>10</v>
      </c>
      <c r="I8" s="6" t="s">
        <v>100</v>
      </c>
      <c r="J8" s="6" t="s">
        <v>101</v>
      </c>
      <c r="K8" s="6" t="s">
        <v>4</v>
      </c>
      <c r="L8" s="38"/>
      <c r="M8" s="6" t="s">
        <v>13</v>
      </c>
      <c r="N8" s="6" t="s">
        <v>14</v>
      </c>
      <c r="P8" s="14" t="s">
        <v>2</v>
      </c>
      <c r="Q8" s="14" t="s">
        <v>3</v>
      </c>
      <c r="U8" s="14" t="s">
        <v>2</v>
      </c>
      <c r="V8" s="14" t="s">
        <v>3</v>
      </c>
    </row>
    <row r="9" spans="2:22" x14ac:dyDescent="0.35">
      <c r="B9" s="32" t="s">
        <v>42</v>
      </c>
      <c r="C9" s="33"/>
      <c r="D9" s="33"/>
      <c r="E9" s="33"/>
      <c r="F9" s="33"/>
      <c r="G9" s="33"/>
      <c r="H9" s="33"/>
      <c r="I9" s="33"/>
      <c r="J9" s="33"/>
      <c r="K9" s="33"/>
      <c r="L9" s="33"/>
      <c r="M9" s="33"/>
      <c r="N9" s="34"/>
      <c r="S9" t="s">
        <v>64</v>
      </c>
    </row>
    <row r="10" spans="2:22" x14ac:dyDescent="0.35">
      <c r="B10" s="29" t="s">
        <v>197</v>
      </c>
      <c r="C10" s="8" t="s">
        <v>43</v>
      </c>
      <c r="D10" s="4"/>
      <c r="E10" s="4"/>
      <c r="F10" s="4" t="str">
        <f>IF(P10*Q10=0,$S$14,VLOOKUP(Q10,Lookups!$D$4:$J$8,'Implementation Phase'!P10+2))</f>
        <v>Select L  &amp; C</v>
      </c>
      <c r="G10" s="5"/>
      <c r="H10" s="5"/>
      <c r="I10" s="4"/>
      <c r="J10" s="4"/>
      <c r="K10" s="4" t="str">
        <f>IF(U10*V10=0,$S$14,VLOOKUP(V10,Lookups!$D$4:$J$8,'Implementation Phase'!U10+2))</f>
        <v>Select L  &amp; C</v>
      </c>
      <c r="L10" s="11"/>
      <c r="M10" s="10"/>
      <c r="N10" s="10"/>
      <c r="P10" s="13">
        <f>IF(D10=Lookups!$B$4,1,IF(D10=Lookups!$B$5,2,IF(D10=Lookups!$B$6,3,IF(D10=Lookups!$B$7,4,IF(D10=Lookups!$B$8,5,0)))))</f>
        <v>0</v>
      </c>
      <c r="Q10" s="13">
        <f>IF(E10=Lookups!$C$4,1,IF(E10=Lookups!$C$5,2,IF(E10=Lookups!$C$6,3,IF(E10=Lookups!$C$7,4,IF(E10=Lookups!$C$8,5,0)))))</f>
        <v>0</v>
      </c>
      <c r="S10" t="s">
        <v>65</v>
      </c>
      <c r="U10" s="13">
        <f>IF(I10=Lookups!$B$4,1,IF(I10=Lookups!$B$5,2,IF(I10=Lookups!$B$6,3,IF(I10=Lookups!$B$7,4,IF(I10=Lookups!$B$8,5,0)))))</f>
        <v>0</v>
      </c>
      <c r="V10" s="13">
        <f>IF(J10=Lookups!$C$4,1,IF(J10=Lookups!$C$5,2,IF(J10=Lookups!$C$6,3,IF(J10=Lookups!$C$7,4,IF(J10=Lookups!$C$8,5,0)))))</f>
        <v>0</v>
      </c>
    </row>
    <row r="11" spans="2:22" ht="43.5" x14ac:dyDescent="0.35">
      <c r="B11" s="31"/>
      <c r="C11" s="8" t="s">
        <v>198</v>
      </c>
      <c r="D11" s="4"/>
      <c r="E11" s="4"/>
      <c r="F11" s="4" t="str">
        <f>IF(P11*Q11=0,$S$14,VLOOKUP(Q11,Lookups!$D$4:$J$8,'Implementation Phase'!P11+2))</f>
        <v>Select L  &amp; C</v>
      </c>
      <c r="G11" s="5"/>
      <c r="H11" s="5"/>
      <c r="I11" s="4"/>
      <c r="J11" s="4"/>
      <c r="K11" s="4" t="str">
        <f>IF(U11*V11=0,$S$14,VLOOKUP(V11,Lookups!$D$4:$J$8,'Implementation Phase'!U11+2))</f>
        <v>Select L  &amp; C</v>
      </c>
      <c r="L11" s="11"/>
      <c r="M11" s="10"/>
      <c r="N11" s="10"/>
      <c r="P11" s="13">
        <f>IF(D11=Lookups!$B$4,1,IF(D11=Lookups!$B$5,2,IF(D11=Lookups!$B$6,3,IF(D11=Lookups!$B$7,4,IF(D11=Lookups!$B$8,5,0)))))</f>
        <v>0</v>
      </c>
      <c r="Q11" s="13">
        <f>IF(E11=Lookups!$C$4,1,IF(E11=Lookups!$C$5,2,IF(E11=Lookups!$C$6,3,IF(E11=Lookups!$C$7,4,IF(E11=Lookups!$C$8,5,0)))))</f>
        <v>0</v>
      </c>
      <c r="S11" t="s">
        <v>66</v>
      </c>
      <c r="U11" s="13">
        <f>IF(I11=Lookups!$B$4,1,IF(I11=Lookups!$B$5,2,IF(I11=Lookups!$B$6,3,IF(I11=Lookups!$B$7,4,IF(I11=Lookups!$B$8,5,0)))))</f>
        <v>0</v>
      </c>
      <c r="V11" s="13">
        <f>IF(J11=Lookups!$C$4,1,IF(J11=Lookups!$C$5,2,IF(J11=Lookups!$C$6,3,IF(J11=Lookups!$C$7,4,IF(J11=Lookups!$C$8,5,0)))))</f>
        <v>0</v>
      </c>
    </row>
    <row r="12" spans="2:22" ht="43.5" x14ac:dyDescent="0.35">
      <c r="B12" s="31"/>
      <c r="C12" s="8" t="s">
        <v>45</v>
      </c>
      <c r="D12" s="4"/>
      <c r="E12" s="4"/>
      <c r="F12" s="4" t="str">
        <f>IF(P12*Q12=0,$S$14,VLOOKUP(Q12,Lookups!$D$4:$J$8,'Implementation Phase'!P12+2))</f>
        <v>Select L  &amp; C</v>
      </c>
      <c r="G12" s="5"/>
      <c r="H12" s="5"/>
      <c r="I12" s="4"/>
      <c r="J12" s="4"/>
      <c r="K12" s="4" t="str">
        <f>IF(U12*V12=0,$S$14,VLOOKUP(V12,Lookups!$D$4:$J$8,'Implementation Phase'!U12+2))</f>
        <v>Select L  &amp; C</v>
      </c>
      <c r="L12" s="11"/>
      <c r="M12" s="10"/>
      <c r="N12" s="10"/>
      <c r="P12" s="13">
        <f>IF(D12=Lookups!$B$4,1,IF(D12=Lookups!$B$5,2,IF(D12=Lookups!$B$6,3,IF(D12=Lookups!$B$7,4,IF(D12=Lookups!$B$8,5,0)))))</f>
        <v>0</v>
      </c>
      <c r="Q12" s="13">
        <f>IF(E12=Lookups!$C$4,1,IF(E12=Lookups!$C$5,2,IF(E12=Lookups!$C$6,3,IF(E12=Lookups!$C$7,4,IF(E12=Lookups!$C$8,5,0)))))</f>
        <v>0</v>
      </c>
      <c r="S12" t="s">
        <v>67</v>
      </c>
      <c r="U12" s="13">
        <f>IF(I12=Lookups!$B$4,1,IF(I12=Lookups!$B$5,2,IF(I12=Lookups!$B$6,3,IF(I12=Lookups!$B$7,4,IF(I12=Lookups!$B$8,5,0)))))</f>
        <v>0</v>
      </c>
      <c r="V12" s="13">
        <f>IF(J12=Lookups!$C$4,1,IF(J12=Lookups!$C$5,2,IF(J12=Lookups!$C$6,3,IF(J12=Lookups!$C$7,4,IF(J12=Lookups!$C$8,5,0)))))</f>
        <v>0</v>
      </c>
    </row>
    <row r="13" spans="2:22" ht="29" x14ac:dyDescent="0.35">
      <c r="B13" s="31"/>
      <c r="C13" s="8" t="s">
        <v>46</v>
      </c>
      <c r="D13" s="4"/>
      <c r="E13" s="4"/>
      <c r="F13" s="4" t="str">
        <f>IF(P13*Q13=0,$S$14,VLOOKUP(Q13,Lookups!$D$4:$J$8,'Implementation Phase'!P13+2))</f>
        <v>Select L  &amp; C</v>
      </c>
      <c r="G13" s="5"/>
      <c r="H13" s="5"/>
      <c r="I13" s="4"/>
      <c r="J13" s="4"/>
      <c r="K13" s="4" t="str">
        <f>IF(U13*V13=0,$S$14,VLOOKUP(V13,Lookups!$D$4:$J$8,'Implementation Phase'!U13+2))</f>
        <v>Select L  &amp; C</v>
      </c>
      <c r="L13" s="11"/>
      <c r="M13" s="10"/>
      <c r="N13" s="10"/>
      <c r="P13" s="13">
        <f>IF(D13=Lookups!$B$4,1,IF(D13=Lookups!$B$5,2,IF(D13=Lookups!$B$6,3,IF(D13=Lookups!$B$7,4,IF(D13=Lookups!$B$8,5,0)))))</f>
        <v>0</v>
      </c>
      <c r="Q13" s="13">
        <f>IF(E13=Lookups!$C$4,1,IF(E13=Lookups!$C$5,2,IF(E13=Lookups!$C$6,3,IF(E13=Lookups!$C$7,4,IF(E13=Lookups!$C$8,5,0)))))</f>
        <v>0</v>
      </c>
      <c r="S13" t="s">
        <v>68</v>
      </c>
      <c r="U13" s="13">
        <f>IF(I13=Lookups!$B$4,1,IF(I13=Lookups!$B$5,2,IF(I13=Lookups!$B$6,3,IF(I13=Lookups!$B$7,4,IF(I13=Lookups!$B$8,5,0)))))</f>
        <v>0</v>
      </c>
      <c r="V13" s="13">
        <f>IF(J13=Lookups!$C$4,1,IF(J13=Lookups!$C$5,2,IF(J13=Lookups!$C$6,3,IF(J13=Lookups!$C$7,4,IF(J13=Lookups!$C$8,5,0)))))</f>
        <v>0</v>
      </c>
    </row>
    <row r="14" spans="2:22" x14ac:dyDescent="0.35">
      <c r="B14" s="31"/>
      <c r="C14" s="8" t="s">
        <v>49</v>
      </c>
      <c r="D14" s="4"/>
      <c r="E14" s="4"/>
      <c r="F14" s="4" t="str">
        <f>IF(P14*Q14=0,$S$14,VLOOKUP(Q14,Lookups!$D$4:$J$8,'Implementation Phase'!P14+2))</f>
        <v>Select L  &amp; C</v>
      </c>
      <c r="G14" s="5"/>
      <c r="H14" s="5"/>
      <c r="I14" s="4"/>
      <c r="J14" s="4"/>
      <c r="K14" s="4" t="str">
        <f>IF(U14*V14=0,$S$14,VLOOKUP(V14,Lookups!$D$4:$J$8,'Implementation Phase'!U14+2))</f>
        <v>Select L  &amp; C</v>
      </c>
      <c r="L14" s="11"/>
      <c r="M14" s="10"/>
      <c r="N14" s="10"/>
      <c r="P14" s="13">
        <f>IF(D14=Lookups!$B$4,1,IF(D14=Lookups!$B$5,2,IF(D14=Lookups!$B$6,3,IF(D14=Lookups!$B$7,4,IF(D14=Lookups!$B$8,5,0)))))</f>
        <v>0</v>
      </c>
      <c r="Q14" s="13">
        <f>IF(E14=Lookups!$C$4,1,IF(E14=Lookups!$C$5,2,IF(E14=Lookups!$C$6,3,IF(E14=Lookups!$C$7,4,IF(E14=Lookups!$C$8,5,0)))))</f>
        <v>0</v>
      </c>
      <c r="S14" t="str">
        <f>IF(AC14*AD14=0,"Select L  &amp; C",VLOOKUP(AD14,Lookups!Q8:W12,'Implementation Phase'!AC14+2))</f>
        <v>Select L  &amp; C</v>
      </c>
      <c r="U14" s="13">
        <f>IF(I14=Lookups!$B$4,1,IF(I14=Lookups!$B$5,2,IF(I14=Lookups!$B$6,3,IF(I14=Lookups!$B$7,4,IF(I14=Lookups!$B$8,5,0)))))</f>
        <v>0</v>
      </c>
      <c r="V14" s="13">
        <f>IF(J14=Lookups!$C$4,1,IF(J14=Lookups!$C$5,2,IF(J14=Lookups!$C$6,3,IF(J14=Lookups!$C$7,4,IF(J14=Lookups!$C$8,5,0)))))</f>
        <v>0</v>
      </c>
    </row>
    <row r="15" spans="2:22" ht="58" x14ac:dyDescent="0.35">
      <c r="B15" s="19" t="s">
        <v>48</v>
      </c>
      <c r="C15" s="8" t="s">
        <v>199</v>
      </c>
      <c r="D15" s="4"/>
      <c r="E15" s="4"/>
      <c r="F15" s="4" t="str">
        <f>IF(P15*Q15=0,$S$14,VLOOKUP(Q15,Lookups!$D$4:$J$8,'Implementation Phase'!P15+2))</f>
        <v>Select L  &amp; C</v>
      </c>
      <c r="G15" s="5"/>
      <c r="H15" s="5"/>
      <c r="I15" s="4"/>
      <c r="J15" s="4"/>
      <c r="K15" s="4" t="str">
        <f>IF(U15*V15=0,$S$14,VLOOKUP(V15,Lookups!$D$4:$J$8,'Implementation Phase'!U15+2))</f>
        <v>Select L  &amp; C</v>
      </c>
      <c r="L15" s="4"/>
      <c r="M15" s="5"/>
      <c r="N15" s="5"/>
      <c r="P15" s="13">
        <f>IF(D15=Lookups!$B$4,1,IF(D15=Lookups!$B$5,2,IF(D15=Lookups!$B$6,3,IF(D15=Lookups!$B$7,4,IF(D15=Lookups!$B$8,5,0)))))</f>
        <v>0</v>
      </c>
      <c r="Q15" s="13">
        <f>IF(E15=Lookups!$C$4,1,IF(E15=Lookups!$C$5,2,IF(E15=Lookups!$C$6,3,IF(E15=Lookups!$C$7,4,IF(E15=Lookups!$C$8,5,0)))))</f>
        <v>0</v>
      </c>
      <c r="U15" s="13">
        <f>IF(I15=Lookups!$B$4,1,IF(I15=Lookups!$B$5,2,IF(I15=Lookups!$B$6,3,IF(I15=Lookups!$B$7,4,IF(I15=Lookups!$B$8,5,0)))))</f>
        <v>0</v>
      </c>
      <c r="V15" s="13">
        <f>IF(J15=Lookups!$C$4,1,IF(J15=Lookups!$C$5,2,IF(J15=Lookups!$C$6,3,IF(J15=Lookups!$C$7,4,IF(J15=Lookups!$C$8,5,0)))))</f>
        <v>0</v>
      </c>
    </row>
    <row r="16" spans="2:22" ht="58" x14ac:dyDescent="0.35">
      <c r="B16" s="8" t="s">
        <v>200</v>
      </c>
      <c r="C16" s="8" t="s">
        <v>106</v>
      </c>
      <c r="D16" s="4"/>
      <c r="E16" s="4"/>
      <c r="F16" s="4" t="str">
        <f>IF(P16*Q16=0,$S$14,VLOOKUP(Q16,Lookups!$D$4:$J$8,'Implementation Phase'!P16+2))</f>
        <v>Select L  &amp; C</v>
      </c>
      <c r="G16" s="5"/>
      <c r="H16" s="5"/>
      <c r="I16" s="4"/>
      <c r="J16" s="4"/>
      <c r="K16" s="4" t="str">
        <f>IF(U16*V16=0,$S$14,VLOOKUP(V16,Lookups!$D$4:$J$8,'Implementation Phase'!U16+2))</f>
        <v>Select L  &amp; C</v>
      </c>
      <c r="L16" s="4"/>
      <c r="M16" s="5"/>
      <c r="N16" s="5"/>
      <c r="P16" s="13">
        <f>IF(D16=Lookups!$B$4,1,IF(D16=Lookups!$B$5,2,IF(D16=Lookups!$B$6,3,IF(D16=Lookups!$B$7,4,IF(D16=Lookups!$B$8,5,0)))))</f>
        <v>0</v>
      </c>
      <c r="Q16" s="13">
        <f>IF(E16=Lookups!$C$4,1,IF(E16=Lookups!$C$5,2,IF(E16=Lookups!$C$6,3,IF(E16=Lookups!$C$7,4,IF(E16=Lookups!$C$8,5,0)))))</f>
        <v>0</v>
      </c>
      <c r="U16" s="13">
        <f>IF(I16=Lookups!$B$4,1,IF(I16=Lookups!$B$5,2,IF(I16=Lookups!$B$6,3,IF(I16=Lookups!$B$7,4,IF(I16=Lookups!$B$8,5,0)))))</f>
        <v>0</v>
      </c>
      <c r="V16" s="13">
        <f>IF(J16=Lookups!$C$4,1,IF(J16=Lookups!$C$5,2,IF(J16=Lookups!$C$6,3,IF(J16=Lookups!$C$7,4,IF(J16=Lookups!$C$8,5,0)))))</f>
        <v>0</v>
      </c>
    </row>
    <row r="17" spans="2:22" ht="72.5" x14ac:dyDescent="0.35">
      <c r="B17" s="19" t="s">
        <v>146</v>
      </c>
      <c r="C17" s="8" t="s">
        <v>201</v>
      </c>
      <c r="D17" s="4"/>
      <c r="E17" s="4"/>
      <c r="F17" s="4" t="str">
        <f>IF(P17*Q17=0,$S$14,VLOOKUP(Q17,Lookups!$D$4:$J$8,'Implementation Phase'!P17+2))</f>
        <v>Select L  &amp; C</v>
      </c>
      <c r="G17" s="5"/>
      <c r="H17" s="5"/>
      <c r="I17" s="4"/>
      <c r="J17" s="4"/>
      <c r="K17" s="4" t="str">
        <f>IF(U17*V17=0,$S$14,VLOOKUP(V17,Lookups!$D$4:$J$8,'Implementation Phase'!U17+2))</f>
        <v>Select L  &amp; C</v>
      </c>
      <c r="L17" s="4"/>
      <c r="M17" s="5"/>
      <c r="N17" s="5"/>
    </row>
    <row r="18" spans="2:22" ht="43.5" x14ac:dyDescent="0.35">
      <c r="B18" s="21" t="s">
        <v>202</v>
      </c>
      <c r="C18" s="8" t="s">
        <v>203</v>
      </c>
      <c r="D18" s="4"/>
      <c r="E18" s="4"/>
      <c r="F18" s="4" t="str">
        <f>IF(P18*Q18=0,$S$14,VLOOKUP(Q18,Lookups!$D$4:$J$8,'Implementation Phase'!P18+2))</f>
        <v>Select L  &amp; C</v>
      </c>
      <c r="G18" s="5"/>
      <c r="H18" s="5"/>
      <c r="I18" s="4"/>
      <c r="J18" s="4"/>
      <c r="K18" s="4" t="str">
        <f>IF(U18*V18=0,$S$14,VLOOKUP(V18,Lookups!$D$4:$J$8,'Implementation Phase'!U18+2))</f>
        <v>Select L  &amp; C</v>
      </c>
      <c r="L18" s="11"/>
      <c r="M18" s="10"/>
      <c r="N18" s="10"/>
      <c r="P18" s="13">
        <f>IF(D18=Lookups!$B$4,1,IF(D18=Lookups!$B$5,2,IF(D18=Lookups!$B$6,3,IF(D18=Lookups!$B$7,4,IF(D18=Lookups!$B$8,5,0)))))</f>
        <v>0</v>
      </c>
      <c r="Q18" s="13">
        <f>IF(E18=Lookups!$C$4,1,IF(E18=Lookups!$C$5,2,IF(E18=Lookups!$C$6,3,IF(E18=Lookups!$C$7,4,IF(E18=Lookups!$C$8,5,0)))))</f>
        <v>0</v>
      </c>
      <c r="S18" t="s">
        <v>65</v>
      </c>
      <c r="U18" s="13">
        <f>IF(I18=Lookups!$B$4,1,IF(I18=Lookups!$B$5,2,IF(I18=Lookups!$B$6,3,IF(I18=Lookups!$B$7,4,IF(I18=Lookups!$B$8,5,0)))))</f>
        <v>0</v>
      </c>
      <c r="V18" s="13">
        <f>IF(J18=Lookups!$C$4,1,IF(J18=Lookups!$C$5,2,IF(J18=Lookups!$C$6,3,IF(J18=Lookups!$C$7,4,IF(J18=Lookups!$C$8,5,0)))))</f>
        <v>0</v>
      </c>
    </row>
    <row r="19" spans="2:22" ht="72.5" x14ac:dyDescent="0.35">
      <c r="B19" s="21" t="s">
        <v>157</v>
      </c>
      <c r="C19" s="8" t="s">
        <v>204</v>
      </c>
      <c r="D19" s="4"/>
      <c r="E19" s="4"/>
      <c r="F19" s="4" t="str">
        <f>IF(P19*Q19=0,$S$14,VLOOKUP(Q19,Lookups!$D$4:$J$8,'Implementation Phase'!P19+2))</f>
        <v>Select L  &amp; C</v>
      </c>
      <c r="G19" s="5"/>
      <c r="H19" s="5"/>
      <c r="I19" s="4"/>
      <c r="J19" s="4"/>
      <c r="K19" s="4"/>
      <c r="L19" s="11"/>
      <c r="M19" s="10"/>
      <c r="N19" s="10"/>
    </row>
    <row r="20" spans="2:22" ht="72.5" x14ac:dyDescent="0.35">
      <c r="B20" s="21" t="s">
        <v>205</v>
      </c>
      <c r="C20" s="8" t="s">
        <v>160</v>
      </c>
      <c r="D20" s="4"/>
      <c r="E20" s="4"/>
      <c r="F20" s="4" t="str">
        <f>IF(P20*Q20=0,$S$14,VLOOKUP(Q20,Lookups!$D$4:$J$8,'Implementation Phase'!P20+2))</f>
        <v>Select L  &amp; C</v>
      </c>
      <c r="G20" s="5"/>
      <c r="H20" s="5"/>
      <c r="I20" s="4"/>
      <c r="J20" s="4"/>
      <c r="K20" s="4" t="str">
        <f>IF(U20*V20=0,$S$14,VLOOKUP(V20,Lookups!$D$4:$J$8,'Implementation Phase'!U20+2))</f>
        <v>Select L  &amp; C</v>
      </c>
      <c r="L20" s="11"/>
      <c r="M20" s="10"/>
      <c r="N20" s="10"/>
    </row>
    <row r="21" spans="2:22" ht="72.5" x14ac:dyDescent="0.35">
      <c r="B21" s="21" t="s">
        <v>161</v>
      </c>
      <c r="C21" s="8" t="s">
        <v>162</v>
      </c>
      <c r="D21" s="4"/>
      <c r="E21" s="4"/>
      <c r="F21" s="4" t="str">
        <f>IF(P21*Q21=0,$S$14,VLOOKUP(Q21,Lookups!$D$4:$J$8,'Implementation Phase'!P21+2))</f>
        <v>Select L  &amp; C</v>
      </c>
      <c r="G21" s="5"/>
      <c r="H21" s="5"/>
      <c r="I21" s="4"/>
      <c r="J21" s="4"/>
      <c r="K21" s="4" t="str">
        <f>IF(U21*V21=0,$S$14,VLOOKUP(V21,Lookups!$D$4:$J$8,'Implementation Phase'!U21+2))</f>
        <v>Select L  &amp; C</v>
      </c>
      <c r="L21" s="11"/>
      <c r="M21" s="10"/>
      <c r="N21" s="10"/>
    </row>
    <row r="22" spans="2:22" x14ac:dyDescent="0.35">
      <c r="B22" s="27" t="s">
        <v>27</v>
      </c>
      <c r="C22" s="35"/>
      <c r="D22" s="35"/>
      <c r="E22" s="35"/>
      <c r="F22" s="35"/>
      <c r="G22" s="35"/>
      <c r="H22" s="35"/>
      <c r="I22" s="35"/>
      <c r="J22" s="35"/>
      <c r="K22" s="35"/>
      <c r="L22" s="35"/>
      <c r="M22" s="35"/>
      <c r="N22" s="28"/>
      <c r="P22" s="13">
        <f>IF(D22=Lookups!$B$4,1,IF(D22=Lookups!$B$5,2,IF(D22=Lookups!$B$6,3,IF(D22=Lookups!$B$7,4,IF(D22=Lookups!$B$8,5,0)))))</f>
        <v>0</v>
      </c>
      <c r="Q22" s="13">
        <f>IF(E22=Lookups!$C$4,1,IF(E22=Lookups!$C$5,2,IF(E22=Lookups!$C$6,3,IF(E22=Lookups!$C$7,4,IF(E22=Lookups!$C$8,5,0)))))</f>
        <v>0</v>
      </c>
      <c r="U22" s="13">
        <f>IF(I22=Lookups!$B$4,1,IF(I22=Lookups!$B$5,2,IF(I22=Lookups!$B$6,3,IF(I22=Lookups!$B$7,4,IF(I22=Lookups!$B$8,5,0)))))</f>
        <v>0</v>
      </c>
      <c r="V22" s="13">
        <f>IF(J22=Lookups!$C$4,1,IF(J22=Lookups!$C$5,2,IF(J22=Lookups!$C$6,3,IF(J22=Lookups!$C$7,4,IF(J22=Lookups!$C$8,5,0)))))</f>
        <v>0</v>
      </c>
    </row>
    <row r="23" spans="2:22" ht="29" x14ac:dyDescent="0.35">
      <c r="B23" s="29" t="s">
        <v>206</v>
      </c>
      <c r="C23" s="8" t="s">
        <v>80</v>
      </c>
      <c r="D23" s="4"/>
      <c r="E23" s="4"/>
      <c r="F23" s="4" t="str">
        <f>IF(P23*Q23=0,$S$14,VLOOKUP(Q23,Lookups!$D$4:$J$8,'Implementation Phase'!P23+2))</f>
        <v>Select L  &amp; C</v>
      </c>
      <c r="G23" s="5"/>
      <c r="H23" s="5"/>
      <c r="I23" s="4"/>
      <c r="J23" s="4"/>
      <c r="K23" s="4" t="str">
        <f>IF(U23*V23=0,$S$14,VLOOKUP(V23,Lookups!$D$4:$J$8,'Implementation Phase'!U23+2))</f>
        <v>Select L  &amp; C</v>
      </c>
      <c r="L23" s="4"/>
      <c r="M23" s="5"/>
      <c r="N23" s="5"/>
      <c r="P23" s="13">
        <f>IF(D23=Lookups!$B$4,1,IF(D23=Lookups!$B$5,2,IF(D23=Lookups!$B$6,3,IF(D23=Lookups!$B$7,4,IF(D23=Lookups!$B$8,5,0)))))</f>
        <v>0</v>
      </c>
      <c r="Q23" s="13">
        <f>IF(E23=Lookups!$C$4,1,IF(E23=Lookups!$C$5,2,IF(E23=Lookups!$C$6,3,IF(E23=Lookups!$C$7,4,IF(E23=Lookups!$C$8,5,0)))))</f>
        <v>0</v>
      </c>
      <c r="U23" s="13">
        <f>IF(I23=Lookups!$B$4,1,IF(I23=Lookups!$B$5,2,IF(I23=Lookups!$B$6,3,IF(I23=Lookups!$B$7,4,IF(I23=Lookups!$B$8,5,0)))))</f>
        <v>0</v>
      </c>
      <c r="V23" s="13">
        <f>IF(J23=Lookups!$C$4,1,IF(J23=Lookups!$C$5,2,IF(J23=Lookups!$C$6,3,IF(J23=Lookups!$C$7,4,IF(J23=Lookups!$C$8,5,0)))))</f>
        <v>0</v>
      </c>
    </row>
    <row r="24" spans="2:22" ht="29" x14ac:dyDescent="0.35">
      <c r="B24" s="31"/>
      <c r="C24" s="8" t="s">
        <v>81</v>
      </c>
      <c r="D24" s="4"/>
      <c r="E24" s="4"/>
      <c r="F24" s="4" t="str">
        <f>IF(P24*Q24=0,$S$14,VLOOKUP(Q24,Lookups!$D$4:$J$8,'Implementation Phase'!P24+2))</f>
        <v>Select L  &amp; C</v>
      </c>
      <c r="G24" s="5"/>
      <c r="H24" s="5"/>
      <c r="I24" s="4"/>
      <c r="J24" s="4"/>
      <c r="K24" s="4" t="str">
        <f>IF(U24*V24=0,$S$14,VLOOKUP(V24,Lookups!$D$4:$J$8,'Implementation Phase'!U24+2))</f>
        <v>Select L  &amp; C</v>
      </c>
      <c r="L24" s="4"/>
      <c r="M24" s="5"/>
      <c r="N24" s="5"/>
      <c r="P24" s="13">
        <f>IF(D24=Lookups!$B$4,1,IF(D24=Lookups!$B$5,2,IF(D24=Lookups!$B$6,3,IF(D24=Lookups!$B$7,4,IF(D24=Lookups!$B$8,5,0)))))</f>
        <v>0</v>
      </c>
      <c r="Q24" s="13">
        <f>IF(E24=Lookups!$C$4,1,IF(E24=Lookups!$C$5,2,IF(E24=Lookups!$C$6,3,IF(E24=Lookups!$C$7,4,IF(E24=Lookups!$C$8,5,0)))))</f>
        <v>0</v>
      </c>
      <c r="U24" s="13">
        <f>IF(I24=Lookups!$B$4,1,IF(I24=Lookups!$B$5,2,IF(I24=Lookups!$B$6,3,IF(I24=Lookups!$B$7,4,IF(I24=Lookups!$B$8,5,0)))))</f>
        <v>0</v>
      </c>
      <c r="V24" s="13">
        <f>IF(J24=Lookups!$C$4,1,IF(J24=Lookups!$C$5,2,IF(J24=Lookups!$C$6,3,IF(J24=Lookups!$C$7,4,IF(J24=Lookups!$C$8,5,0)))))</f>
        <v>0</v>
      </c>
    </row>
    <row r="25" spans="2:22" ht="29" x14ac:dyDescent="0.35">
      <c r="B25" s="30"/>
      <c r="C25" s="8" t="s">
        <v>18</v>
      </c>
      <c r="D25" s="4"/>
      <c r="E25" s="4"/>
      <c r="F25" s="4" t="str">
        <f>IF(P25*Q25=0,$S$14,VLOOKUP(Q25,Lookups!$D$4:$J$8,'Implementation Phase'!P25+2))</f>
        <v>Select L  &amp; C</v>
      </c>
      <c r="G25" s="5"/>
      <c r="H25" s="5"/>
      <c r="I25" s="4"/>
      <c r="J25" s="4"/>
      <c r="K25" s="4" t="str">
        <f>IF(U25*V25=0,$S$14,VLOOKUP(V25,Lookups!$D$4:$J$8,'Implementation Phase'!U25+2))</f>
        <v>Select L  &amp; C</v>
      </c>
      <c r="L25" s="4"/>
      <c r="M25" s="5"/>
      <c r="N25" s="5"/>
      <c r="P25" s="13">
        <f>IF(D25=Lookups!$B$4,1,IF(D25=Lookups!$B$5,2,IF(D25=Lookups!$B$6,3,IF(D25=Lookups!$B$7,4,IF(D25=Lookups!$B$8,5,0)))))</f>
        <v>0</v>
      </c>
      <c r="Q25" s="13">
        <f>IF(E25=Lookups!$C$4,1,IF(E25=Lookups!$C$5,2,IF(E25=Lookups!$C$6,3,IF(E25=Lookups!$C$7,4,IF(E25=Lookups!$C$8,5,0)))))</f>
        <v>0</v>
      </c>
      <c r="U25" s="13">
        <f>IF(I25=Lookups!$B$4,1,IF(I25=Lookups!$B$5,2,IF(I25=Lookups!$B$6,3,IF(I25=Lookups!$B$7,4,IF(I25=Lookups!$B$8,5,0)))))</f>
        <v>0</v>
      </c>
      <c r="V25" s="13">
        <f>IF(J25=Lookups!$C$4,1,IF(J25=Lookups!$C$5,2,IF(J25=Lookups!$C$6,3,IF(J25=Lookups!$C$7,4,IF(J25=Lookups!$C$8,5,0)))))</f>
        <v>0</v>
      </c>
    </row>
    <row r="26" spans="2:22" ht="43.5" x14ac:dyDescent="0.35">
      <c r="B26" s="19" t="s">
        <v>85</v>
      </c>
      <c r="C26" s="8" t="s">
        <v>207</v>
      </c>
      <c r="D26" s="4"/>
      <c r="E26" s="4"/>
      <c r="F26" s="4" t="str">
        <f>IF(P26*Q26=0,$S$14,VLOOKUP(Q26,Lookups!$D$4:$J$8,'Implementation Phase'!P26+2))</f>
        <v>Select L  &amp; C</v>
      </c>
      <c r="G26" s="5"/>
      <c r="H26" s="5"/>
      <c r="I26" s="4"/>
      <c r="J26" s="4"/>
      <c r="K26" s="4" t="str">
        <f>IF(U26*V26=0,$S$14,VLOOKUP(V26,Lookups!$D$4:$J$8,'Implementation Phase'!U26+2))</f>
        <v>Select L  &amp; C</v>
      </c>
      <c r="L26" s="4"/>
      <c r="M26" s="5"/>
      <c r="N26" s="5"/>
      <c r="P26" s="13">
        <f>IF(D26=Lookups!$B$4,1,IF(D26=Lookups!$B$5,2,IF(D26=Lookups!$B$6,3,IF(D26=Lookups!$B$7,4,IF(D26=Lookups!$B$8,5,0)))))</f>
        <v>0</v>
      </c>
      <c r="Q26" s="13">
        <f>IF(E26=Lookups!$C$4,1,IF(E26=Lookups!$C$5,2,IF(E26=Lookups!$C$6,3,IF(E26=Lookups!$C$7,4,IF(E26=Lookups!$C$8,5,0)))))</f>
        <v>0</v>
      </c>
      <c r="U26" s="13">
        <f>IF(I26=Lookups!$B$4,1,IF(I26=Lookups!$B$5,2,IF(I26=Lookups!$B$6,3,IF(I26=Lookups!$B$7,4,IF(I26=Lookups!$B$8,5,0)))))</f>
        <v>0</v>
      </c>
      <c r="V26" s="13">
        <f>IF(J26=Lookups!$C$4,1,IF(J26=Lookups!$C$5,2,IF(J26=Lookups!$C$6,3,IF(J26=Lookups!$C$7,4,IF(J26=Lookups!$C$8,5,0)))))</f>
        <v>0</v>
      </c>
    </row>
    <row r="27" spans="2:22" ht="58" x14ac:dyDescent="0.35">
      <c r="B27" s="19" t="s">
        <v>82</v>
      </c>
      <c r="C27" s="8" t="s">
        <v>208</v>
      </c>
      <c r="D27" s="4"/>
      <c r="E27" s="4"/>
      <c r="F27" s="4" t="str">
        <f>IF(P27*Q27=0,$S$14,VLOOKUP(Q27,Lookups!$D$4:$J$8,'Implementation Phase'!P27+2))</f>
        <v>Select L  &amp; C</v>
      </c>
      <c r="G27" s="5"/>
      <c r="H27" s="5"/>
      <c r="I27" s="4"/>
      <c r="J27" s="4"/>
      <c r="K27" s="4" t="str">
        <f>IF(U27*V27=0,$S$14,VLOOKUP(V27,Lookups!$D$4:$J$8,'Implementation Phase'!U27+2))</f>
        <v>Select L  &amp; C</v>
      </c>
      <c r="L27" s="4"/>
      <c r="M27" s="5"/>
      <c r="N27" s="5"/>
      <c r="P27" s="13">
        <f>IF(D27=Lookups!$B$4,1,IF(D27=Lookups!$B$5,2,IF(D27=Lookups!$B$6,3,IF(D27=Lookups!$B$7,4,IF(D27=Lookups!$B$8,5,0)))))</f>
        <v>0</v>
      </c>
      <c r="Q27" s="13">
        <f>IF(E27=Lookups!$C$4,1,IF(E27=Lookups!$C$5,2,IF(E27=Lookups!$C$6,3,IF(E27=Lookups!$C$7,4,IF(E27=Lookups!$C$8,5,0)))))</f>
        <v>0</v>
      </c>
      <c r="U27" s="13">
        <f>IF(I27=Lookups!$B$4,1,IF(I27=Lookups!$B$5,2,IF(I27=Lookups!$B$6,3,IF(I27=Lookups!$B$7,4,IF(I27=Lookups!$B$8,5,0)))))</f>
        <v>0</v>
      </c>
      <c r="V27" s="13">
        <f>IF(J27=Lookups!$C$4,1,IF(J27=Lookups!$C$5,2,IF(J27=Lookups!$C$6,3,IF(J27=Lookups!$C$7,4,IF(J27=Lookups!$C$8,5,0)))))</f>
        <v>0</v>
      </c>
    </row>
    <row r="28" spans="2:22" ht="43.5" x14ac:dyDescent="0.35">
      <c r="B28" s="21" t="s">
        <v>175</v>
      </c>
      <c r="C28" s="8" t="s">
        <v>176</v>
      </c>
      <c r="D28" s="4"/>
      <c r="E28" s="4"/>
      <c r="F28" s="4" t="str">
        <f>IF(P28*Q28=0,$S$14,VLOOKUP(Q28,Lookups!$D$4:$J$8,'Implementation Phase'!P28+2))</f>
        <v>Select L  &amp; C</v>
      </c>
      <c r="G28" s="5"/>
      <c r="H28" s="5"/>
      <c r="I28" s="4"/>
      <c r="J28" s="4"/>
      <c r="K28" s="4" t="str">
        <f>IF(U28*V28=0,$S$14,VLOOKUP(V28,Lookups!$D$4:$J$8,'Implementation Phase'!U28+2))</f>
        <v>Select L  &amp; C</v>
      </c>
      <c r="L28" s="11"/>
      <c r="M28" s="10"/>
      <c r="N28" s="10"/>
      <c r="P28" s="13">
        <f>IF(D28=Lookups!$B$4,1,IF(D28=Lookups!$B$5,2,IF(D28=Lookups!$B$6,3,IF(D28=Lookups!$B$7,4,IF(D28=Lookups!$B$8,5,0)))))</f>
        <v>0</v>
      </c>
      <c r="Q28" s="13">
        <f>IF(E28=Lookups!$C$4,1,IF(E28=Lookups!$C$5,2,IF(E28=Lookups!$C$6,3,IF(E28=Lookups!$C$7,4,IF(E28=Lookups!$C$8,5,0)))))</f>
        <v>0</v>
      </c>
      <c r="S28" t="s">
        <v>65</v>
      </c>
      <c r="U28" s="13">
        <f>IF(I28=Lookups!$B$4,1,IF(I28=Lookups!$B$5,2,IF(I28=Lookups!$B$6,3,IF(I28=Lookups!$B$7,4,IF(I28=Lookups!$B$8,5,0)))))</f>
        <v>0</v>
      </c>
      <c r="V28" s="13">
        <f>IF(J28=Lookups!$C$4,1,IF(J28=Lookups!$C$5,2,IF(J28=Lookups!$C$6,3,IF(J28=Lookups!$C$7,4,IF(J28=Lookups!$C$8,5,0)))))</f>
        <v>0</v>
      </c>
    </row>
    <row r="29" spans="2:22" x14ac:dyDescent="0.35">
      <c r="B29" s="27" t="s">
        <v>36</v>
      </c>
      <c r="C29" s="35"/>
      <c r="D29" s="35"/>
      <c r="E29" s="35"/>
      <c r="F29" s="35"/>
      <c r="G29" s="35"/>
      <c r="H29" s="35"/>
      <c r="I29" s="35"/>
      <c r="J29" s="35"/>
      <c r="K29" s="35"/>
      <c r="L29" s="35"/>
      <c r="M29" s="35"/>
      <c r="N29" s="28"/>
      <c r="P29" s="13">
        <f>IF(D29=Lookups!$B$4,1,IF(D29=Lookups!$B$5,2,IF(D29=Lookups!$B$6,3,IF(D29=Lookups!$B$7,4,IF(D29=Lookups!$B$8,5,0)))))</f>
        <v>0</v>
      </c>
      <c r="Q29" s="13">
        <f>IF(E29=Lookups!$C$4,1,IF(E29=Lookups!$C$5,2,IF(E29=Lookups!$C$6,3,IF(E29=Lookups!$C$7,4,IF(E29=Lookups!$C$8,5,0)))))</f>
        <v>0</v>
      </c>
      <c r="U29" s="13">
        <f>IF(I29=Lookups!$B$4,1,IF(I29=Lookups!$B$5,2,IF(I29=Lookups!$B$6,3,IF(I29=Lookups!$B$7,4,IF(I29=Lookups!$B$8,5,0)))))</f>
        <v>0</v>
      </c>
      <c r="V29" s="13">
        <f>IF(J29=Lookups!$C$4,1,IF(J29=Lookups!$C$5,2,IF(J29=Lookups!$C$6,3,IF(J29=Lookups!$C$7,4,IF(J29=Lookups!$C$8,5,0)))))</f>
        <v>0</v>
      </c>
    </row>
    <row r="30" spans="2:22" ht="68.650000000000006" customHeight="1" x14ac:dyDescent="0.35">
      <c r="B30" s="17" t="s">
        <v>209</v>
      </c>
      <c r="C30" s="8" t="s">
        <v>210</v>
      </c>
      <c r="D30" s="4"/>
      <c r="E30" s="4"/>
      <c r="F30" s="4" t="str">
        <f>IF(P30*Q30=0,$S$14,VLOOKUP(Q30,Lookups!$D$4:$J$8,'Implementation Phase'!P30+2))</f>
        <v>Select L  &amp; C</v>
      </c>
      <c r="G30" s="5"/>
      <c r="H30" s="5"/>
      <c r="I30" s="4"/>
      <c r="J30" s="4"/>
      <c r="K30" s="4" t="str">
        <f>IF(U30*V30=0,$S$14,VLOOKUP(V30,Lookups!$D$4:$J$8,'Implementation Phase'!U30+2))</f>
        <v>Select L  &amp; C</v>
      </c>
      <c r="L30" s="4"/>
      <c r="M30" s="5"/>
      <c r="N30" s="5"/>
      <c r="P30" s="13">
        <f>IF(D30=Lookups!$B$4,1,IF(D30=Lookups!$B$5,2,IF(D30=Lookups!$B$6,3,IF(D30=Lookups!$B$7,4,IF(D30=Lookups!$B$8,5,0)))))</f>
        <v>0</v>
      </c>
      <c r="Q30" s="13">
        <f>IF(E30=Lookups!$C$4,1,IF(E30=Lookups!$C$5,2,IF(E30=Lookups!$C$6,3,IF(E30=Lookups!$C$7,4,IF(E30=Lookups!$C$8,5,0)))))</f>
        <v>0</v>
      </c>
      <c r="U30" s="13">
        <f>IF(I30=Lookups!$B$4,1,IF(I30=Lookups!$B$5,2,IF(I30=Lookups!$B$6,3,IF(I30=Lookups!$B$7,4,IF(I30=Lookups!$B$8,5,0)))))</f>
        <v>0</v>
      </c>
      <c r="V30" s="13">
        <f>IF(J30=Lookups!$C$4,1,IF(J30=Lookups!$C$5,2,IF(J30=Lookups!$C$6,3,IF(J30=Lookups!$C$7,4,IF(J30=Lookups!$C$8,5,0)))))</f>
        <v>0</v>
      </c>
    </row>
    <row r="31" spans="2:22" x14ac:dyDescent="0.35">
      <c r="B31" s="27" t="s">
        <v>94</v>
      </c>
      <c r="C31" s="35"/>
      <c r="D31" s="35"/>
      <c r="E31" s="35"/>
      <c r="F31" s="35"/>
      <c r="G31" s="35"/>
      <c r="H31" s="35"/>
      <c r="I31" s="35"/>
      <c r="J31" s="35"/>
      <c r="K31" s="35"/>
      <c r="L31" s="35"/>
      <c r="M31" s="35"/>
      <c r="N31" s="28"/>
      <c r="P31" s="13">
        <f>IF(D31=Lookups!$B$4,1,IF(D31=Lookups!$B$5,2,IF(D31=Lookups!$B$6,3,IF(D31=Lookups!$B$7,4,IF(D31=Lookups!$B$8,5,0)))))</f>
        <v>0</v>
      </c>
      <c r="Q31" s="13">
        <f>IF(E31=Lookups!$C$4,1,IF(E31=Lookups!$C$5,2,IF(E31=Lookups!$C$6,3,IF(E31=Lookups!$C$7,4,IF(E31=Lookups!$C$8,5,0)))))</f>
        <v>0</v>
      </c>
      <c r="U31" s="13">
        <f>IF(I31=Lookups!$B$4,1,IF(I31=Lookups!$B$5,2,IF(I31=Lookups!$B$6,3,IF(I31=Lookups!$B$7,4,IF(I31=Lookups!$B$8,5,0)))))</f>
        <v>0</v>
      </c>
      <c r="V31" s="13">
        <f>IF(J31=Lookups!$C$4,1,IF(J31=Lookups!$C$5,2,IF(J31=Lookups!$C$6,3,IF(J31=Lookups!$C$7,4,IF(J31=Lookups!$C$8,5,0)))))</f>
        <v>0</v>
      </c>
    </row>
    <row r="32" spans="2:22" ht="43.5" x14ac:dyDescent="0.35">
      <c r="B32" s="17" t="s">
        <v>92</v>
      </c>
      <c r="C32" s="8" t="s">
        <v>211</v>
      </c>
      <c r="D32" s="4"/>
      <c r="E32" s="4"/>
      <c r="F32" s="4" t="str">
        <f>IF(P32*Q32=0,$S$14,VLOOKUP(Q32,Lookups!$D$4:$J$8,'Implementation Phase'!P32+2))</f>
        <v>Select L  &amp; C</v>
      </c>
      <c r="G32" s="5"/>
      <c r="H32" s="5"/>
      <c r="I32" s="4"/>
      <c r="J32" s="4"/>
      <c r="K32" s="4" t="str">
        <f>IF(U32*V32=0,$S$14,VLOOKUP(V32,Lookups!$D$4:$J$8,'Implementation Phase'!U32+2))</f>
        <v>Select L  &amp; C</v>
      </c>
      <c r="L32" s="4"/>
      <c r="M32" s="5"/>
      <c r="N32" s="5"/>
      <c r="P32" s="13">
        <f>IF(D32=Lookups!$B$4,1,IF(D32=Lookups!$B$5,2,IF(D32=Lookups!$B$6,3,IF(D32=Lookups!$B$7,4,IF(D32=Lookups!$B$8,5,0)))))</f>
        <v>0</v>
      </c>
      <c r="Q32" s="13">
        <f>IF(E32=Lookups!$C$4,1,IF(E32=Lookups!$C$5,2,IF(E32=Lookups!$C$6,3,IF(E32=Lookups!$C$7,4,IF(E32=Lookups!$C$8,5,0)))))</f>
        <v>0</v>
      </c>
      <c r="U32" s="13">
        <f>IF(I32=Lookups!$B$4,1,IF(I32=Lookups!$B$5,2,IF(I32=Lookups!$B$6,3,IF(I32=Lookups!$B$7,4,IF(I32=Lookups!$B$8,5,0)))))</f>
        <v>0</v>
      </c>
      <c r="V32" s="13">
        <f>IF(J32=Lookups!$C$4,1,IF(J32=Lookups!$C$5,2,IF(J32=Lookups!$C$6,3,IF(J32=Lookups!$C$7,4,IF(J32=Lookups!$C$8,5,0)))))</f>
        <v>0</v>
      </c>
    </row>
    <row r="33" spans="2:22" ht="29" x14ac:dyDescent="0.35">
      <c r="B33" s="8" t="s">
        <v>212</v>
      </c>
      <c r="C33" s="8" t="s">
        <v>213</v>
      </c>
      <c r="D33" s="4"/>
      <c r="E33" s="4"/>
      <c r="F33" s="4" t="str">
        <f>IF(P33*Q33=0,$S$14,VLOOKUP(Q33,Lookups!$D$4:$J$8,'Implementation Phase'!P33+2))</f>
        <v>Select L  &amp; C</v>
      </c>
      <c r="G33" s="5"/>
      <c r="H33" s="5"/>
      <c r="I33" s="4"/>
      <c r="J33" s="4"/>
      <c r="K33" s="4" t="str">
        <f>IF(U33*V33=0,$S$14,VLOOKUP(V33,Lookups!$D$4:$J$8,'Implementation Phase'!U33+2))</f>
        <v>Select L  &amp; C</v>
      </c>
      <c r="L33" s="4"/>
      <c r="M33" s="5"/>
      <c r="N33" s="5"/>
      <c r="P33" s="13">
        <f>IF(D33=Lookups!$B$4,1,IF(D33=Lookups!$B$5,2,IF(D33=Lookups!$B$6,3,IF(D33=Lookups!$B$7,4,IF(D33=Lookups!$B$8,5,0)))))</f>
        <v>0</v>
      </c>
      <c r="Q33" s="13">
        <f>IF(E33=Lookups!$C$4,1,IF(E33=Lookups!$C$5,2,IF(E33=Lookups!$C$6,3,IF(E33=Lookups!$C$7,4,IF(E33=Lookups!$C$8,5,0)))))</f>
        <v>0</v>
      </c>
      <c r="U33" s="13">
        <f>IF(I33=Lookups!$B$4,1,IF(I33=Lookups!$B$5,2,IF(I33=Lookups!$B$6,3,IF(I33=Lookups!$B$7,4,IF(I33=Lookups!$B$8,5,0)))))</f>
        <v>0</v>
      </c>
      <c r="V33" s="13">
        <f>IF(J33=Lookups!$C$4,1,IF(J33=Lookups!$C$5,2,IF(J33=Lookups!$C$6,3,IF(J33=Lookups!$C$7,4,IF(J33=Lookups!$C$8,5,0)))))</f>
        <v>0</v>
      </c>
    </row>
    <row r="34" spans="2:22" ht="43.5" x14ac:dyDescent="0.35">
      <c r="B34" s="16" t="s">
        <v>214</v>
      </c>
      <c r="C34" s="8" t="s">
        <v>96</v>
      </c>
      <c r="D34" s="4"/>
      <c r="E34" s="4"/>
      <c r="F34" s="4" t="str">
        <f>IF(P34*Q34=0,$S$14,VLOOKUP(Q34,Lookups!$D$4:$J$8,'Implementation Phase'!P34+2))</f>
        <v>Select L  &amp; C</v>
      </c>
      <c r="G34" s="5"/>
      <c r="H34" s="5"/>
      <c r="I34" s="4"/>
      <c r="J34" s="4"/>
      <c r="K34" s="4" t="str">
        <f>IF(U34*V34=0,$S$14,VLOOKUP(V34,Lookups!$D$4:$J$8,'Implementation Phase'!U34+2))</f>
        <v>Select L  &amp; C</v>
      </c>
      <c r="L34" s="4"/>
      <c r="M34" s="5"/>
      <c r="N34" s="5"/>
      <c r="P34" s="13">
        <f>IF(D34=Lookups!$B$4,1,IF(D34=Lookups!$B$5,2,IF(D34=Lookups!$B$6,3,IF(D34=Lookups!$B$7,4,IF(D34=Lookups!$B$8,5,0)))))</f>
        <v>0</v>
      </c>
      <c r="Q34" s="13">
        <f>IF(E34=Lookups!$C$4,1,IF(E34=Lookups!$C$5,2,IF(E34=Lookups!$C$6,3,IF(E34=Lookups!$C$7,4,IF(E34=Lookups!$C$8,5,0)))))</f>
        <v>0</v>
      </c>
      <c r="U34" s="13">
        <f>IF(I34=Lookups!$B$4,1,IF(I34=Lookups!$B$5,2,IF(I34=Lookups!$B$6,3,IF(I34=Lookups!$B$7,4,IF(I34=Lookups!$B$8,5,0)))))</f>
        <v>0</v>
      </c>
      <c r="V34" s="13">
        <f>IF(J34=Lookups!$C$4,1,IF(J34=Lookups!$C$5,2,IF(J34=Lookups!$C$6,3,IF(J34=Lookups!$C$7,4,IF(J34=Lookups!$C$8,5,0)))))</f>
        <v>0</v>
      </c>
    </row>
    <row r="35" spans="2:22" ht="72.5" x14ac:dyDescent="0.35">
      <c r="B35" s="8" t="s">
        <v>192</v>
      </c>
      <c r="C35" s="8" t="s">
        <v>193</v>
      </c>
      <c r="D35" s="4"/>
      <c r="E35" s="4"/>
      <c r="F35" s="4" t="str">
        <f>IF(P35*Q35=0,$S$14,VLOOKUP(Q35,Lookups!$D$4:$J$8,'Implementation Phase'!P35+2))</f>
        <v>Select L  &amp; C</v>
      </c>
      <c r="G35" s="5"/>
      <c r="H35" s="5"/>
      <c r="I35" s="4"/>
      <c r="J35" s="4"/>
      <c r="K35" s="4" t="str">
        <f>IF(U35*V35=0,$S$14,VLOOKUP(V35,Lookups!$D$4:$J$8,'Implementation Phase'!U35+2))</f>
        <v>Select L  &amp; C</v>
      </c>
      <c r="L35" s="4"/>
      <c r="M35" s="5"/>
      <c r="N35" s="5"/>
      <c r="P35" s="13">
        <f>IF(D35=Lookups!$B$4,1,IF(D35=Lookups!$B$5,2,IF(D35=Lookups!$B$6,3,IF(D35=Lookups!$B$7,4,IF(D35=Lookups!$B$8,5,0)))))</f>
        <v>0</v>
      </c>
      <c r="Q35" s="13">
        <f>IF(E35=Lookups!$C$4,1,IF(E35=Lookups!$C$5,2,IF(E35=Lookups!$C$6,3,IF(E35=Lookups!$C$7,4,IF(E35=Lookups!$C$8,5,0)))))</f>
        <v>0</v>
      </c>
      <c r="U35" s="13">
        <f>IF(I35=Lookups!$B$4,1,IF(I35=Lookups!$B$5,2,IF(I35=Lookups!$B$6,3,IF(I35=Lookups!$B$7,4,IF(I35=Lookups!$B$8,5,0)))))</f>
        <v>0</v>
      </c>
      <c r="V35" s="13">
        <f>IF(J35=Lookups!$C$4,1,IF(J35=Lookups!$C$5,2,IF(J35=Lookups!$C$6,3,IF(J35=Lookups!$C$7,4,IF(J35=Lookups!$C$8,5,0)))))</f>
        <v>0</v>
      </c>
    </row>
    <row r="36" spans="2:22" ht="43.5" x14ac:dyDescent="0.35">
      <c r="B36" s="8" t="s">
        <v>215</v>
      </c>
      <c r="C36" s="8" t="s">
        <v>216</v>
      </c>
      <c r="D36" s="4"/>
      <c r="E36" s="4"/>
      <c r="F36" s="4" t="str">
        <f>IF(P36*Q36=0,$S$14,VLOOKUP(Q36,Lookups!$D$4:$J$8,'Implementation Phase'!P36+2))</f>
        <v>Select L  &amp; C</v>
      </c>
      <c r="G36" s="5"/>
      <c r="H36" s="5"/>
      <c r="I36" s="4"/>
      <c r="J36" s="4"/>
      <c r="K36" s="4" t="str">
        <f>IF(U36*V36=0,$S$14,VLOOKUP(V36,Lookups!$D$4:$J$8,'Implementation Phase'!U36+2))</f>
        <v>Select L  &amp; C</v>
      </c>
      <c r="L36" s="4"/>
      <c r="M36" s="5"/>
      <c r="N36" s="5"/>
    </row>
    <row r="37" spans="2:22" ht="58" x14ac:dyDescent="0.35">
      <c r="B37" s="21" t="s">
        <v>186</v>
      </c>
      <c r="C37" s="8" t="s">
        <v>24</v>
      </c>
      <c r="D37" s="4"/>
      <c r="E37" s="4"/>
      <c r="F37" s="4" t="str">
        <f>IF(P37*Q37=0,$S$14,VLOOKUP(Q37,Lookups!$D$4:$J$8,'Implementation Phase'!P37+2))</f>
        <v>Select L  &amp; C</v>
      </c>
      <c r="G37" s="5"/>
      <c r="H37" s="5"/>
      <c r="I37" s="4"/>
      <c r="J37" s="4"/>
      <c r="K37" s="4" t="str">
        <f>IF(U37*V37=0,$S$14,VLOOKUP(V37,Lookups!$D$4:$J$8,'Implementation Phase'!U37+2))</f>
        <v>Select L  &amp; C</v>
      </c>
      <c r="L37" s="11"/>
      <c r="M37" s="10"/>
      <c r="N37" s="10"/>
      <c r="P37" s="13">
        <f>IF(D37=Lookups!$B$4,1,IF(D37=Lookups!$B$5,2,IF(D37=Lookups!$B$6,3,IF(D37=Lookups!$B$7,4,IF(D37=Lookups!$B$8,5,0)))))</f>
        <v>0</v>
      </c>
      <c r="Q37" s="13">
        <f>IF(E37=Lookups!$C$4,1,IF(E37=Lookups!$C$5,2,IF(E37=Lookups!$C$6,3,IF(E37=Lookups!$C$7,4,IF(E37=Lookups!$C$8,5,0)))))</f>
        <v>0</v>
      </c>
      <c r="S37" t="s">
        <v>65</v>
      </c>
      <c r="U37" s="13">
        <f>IF(I37=Lookups!$B$4,1,IF(I37=Lookups!$B$5,2,IF(I37=Lookups!$B$6,3,IF(I37=Lookups!$B$7,4,IF(I37=Lookups!$B$8,5,0)))))</f>
        <v>0</v>
      </c>
      <c r="V37" s="13">
        <f>IF(J37=Lookups!$C$4,1,IF(J37=Lookups!$C$5,2,IF(J37=Lookups!$C$6,3,IF(J37=Lookups!$C$7,4,IF(J37=Lookups!$C$8,5,0)))))</f>
        <v>0</v>
      </c>
    </row>
    <row r="38" spans="2:22" x14ac:dyDescent="0.35">
      <c r="B38" s="8" t="s">
        <v>259</v>
      </c>
      <c r="C38" s="8" t="s">
        <v>41</v>
      </c>
      <c r="D38" s="4"/>
      <c r="E38" s="4"/>
      <c r="F38" s="4" t="str">
        <f>IF(P38*Q38=0,$S$14,VLOOKUP(Q38,Lookups!$D$4:$J$8,'Implementation Phase'!P38+2))</f>
        <v>Select L  &amp; C</v>
      </c>
      <c r="G38" s="5"/>
      <c r="H38" s="5"/>
      <c r="I38" s="4"/>
      <c r="J38" s="4"/>
      <c r="K38" s="4" t="str">
        <f>IF(U38*V38=0,$S$14,VLOOKUP(V38,Lookups!$D$4:$J$8,'Implementation Phase'!U38+2))</f>
        <v>Select L  &amp; C</v>
      </c>
      <c r="L38" s="4"/>
      <c r="M38" s="5"/>
      <c r="N38" s="5"/>
      <c r="P38" s="13">
        <f>IF(D38=Lookups!$B$4,1,IF(D38=Lookups!$B$5,2,IF(D38=Lookups!$B$6,3,IF(D38=Lookups!$B$7,4,IF(D38=Lookups!$B$8,5,0)))))</f>
        <v>0</v>
      </c>
      <c r="Q38" s="13">
        <f>IF(E38=Lookups!$C$4,1,IF(E38=Lookups!$C$5,2,IF(E38=Lookups!$C$6,3,IF(E38=Lookups!$C$7,4,IF(E38=Lookups!$C$8,5,0)))))</f>
        <v>0</v>
      </c>
      <c r="U38" s="13">
        <f>IF(I38=Lookups!$B$4,1,IF(I38=Lookups!$B$5,2,IF(I38=Lookups!$B$6,3,IF(I38=Lookups!$B$7,4,IF(I38=Lookups!$B$8,5,0)))))</f>
        <v>0</v>
      </c>
      <c r="V38" s="13">
        <f>IF(J38=Lookups!$C$4,1,IF(J38=Lookups!$C$5,2,IF(J38=Lookups!$C$6,3,IF(J38=Lookups!$C$7,4,IF(J38=Lookups!$C$8,5,0)))))</f>
        <v>0</v>
      </c>
    </row>
    <row r="39" spans="2:22" x14ac:dyDescent="0.35">
      <c r="B39" s="29" t="s">
        <v>237</v>
      </c>
      <c r="C39" s="8" t="s">
        <v>22</v>
      </c>
      <c r="D39" s="4"/>
      <c r="E39" s="4"/>
      <c r="F39" s="4" t="str">
        <f>IF(P39*Q39=0,$S$14,VLOOKUP(Q39,Lookups!$D$4:$J$8,'Implementation Phase'!P39+2))</f>
        <v>Select L  &amp; C</v>
      </c>
      <c r="G39" s="5"/>
      <c r="H39" s="5"/>
      <c r="I39" s="4"/>
      <c r="J39" s="4"/>
      <c r="K39" s="4" t="str">
        <f>IF(U39*V39=0,$S$14,VLOOKUP(V39,Lookups!$D$4:$J$8,'Implementation Phase'!U39+2))</f>
        <v>Select L  &amp; C</v>
      </c>
      <c r="L39" s="4"/>
      <c r="M39" s="5"/>
      <c r="N39" s="5"/>
      <c r="P39" s="13">
        <f>IF(D39=Lookups!$B$4,1,IF(D39=Lookups!$B$5,2,IF(D39=Lookups!$B$6,3,IF(D39=Lookups!$B$7,4,IF(D39=Lookups!$B$8,5,0)))))</f>
        <v>0</v>
      </c>
      <c r="Q39" s="13">
        <f>IF(E39=Lookups!$C$4,1,IF(E39=Lookups!$C$5,2,IF(E39=Lookups!$C$6,3,IF(E39=Lookups!$C$7,4,IF(E39=Lookups!$C$8,5,0)))))</f>
        <v>0</v>
      </c>
      <c r="U39" s="13">
        <f>IF(I39=Lookups!$B$4,1,IF(I39=Lookups!$B$5,2,IF(I39=Lookups!$B$6,3,IF(I39=Lookups!$B$7,4,IF(I39=Lookups!$B$8,5,0)))))</f>
        <v>0</v>
      </c>
      <c r="V39" s="13">
        <f>IF(J39=Lookups!$C$4,1,IF(J39=Lookups!$C$5,2,IF(J39=Lookups!$C$6,3,IF(J39=Lookups!$C$7,4,IF(J39=Lookups!$C$8,5,0)))))</f>
        <v>0</v>
      </c>
    </row>
    <row r="40" spans="2:22" x14ac:dyDescent="0.35">
      <c r="B40" s="31"/>
      <c r="C40" s="8" t="s">
        <v>30</v>
      </c>
      <c r="D40" s="4"/>
      <c r="E40" s="4"/>
      <c r="F40" s="4" t="str">
        <f>IF(P40*Q40=0,$S$14,VLOOKUP(Q40,Lookups!$D$4:$J$8,'Implementation Phase'!P40+2))</f>
        <v>Select L  &amp; C</v>
      </c>
      <c r="G40" s="5"/>
      <c r="H40" s="5"/>
      <c r="I40" s="4"/>
      <c r="J40" s="4"/>
      <c r="K40" s="4" t="str">
        <f>IF(U40*V40=0,$S$14,VLOOKUP(V40,Lookups!$D$4:$J$8,'Implementation Phase'!U40+2))</f>
        <v>Select L  &amp; C</v>
      </c>
      <c r="L40" s="4"/>
      <c r="M40" s="5"/>
      <c r="N40" s="5"/>
      <c r="P40" s="13">
        <f>IF(D40=Lookups!$B$4,1,IF(D40=Lookups!$B$5,2,IF(D40=Lookups!$B$6,3,IF(D40=Lookups!$B$7,4,IF(D40=Lookups!$B$8,5,0)))))</f>
        <v>0</v>
      </c>
      <c r="Q40" s="13">
        <f>IF(E40=Lookups!$C$4,1,IF(E40=Lookups!$C$5,2,IF(E40=Lookups!$C$6,3,IF(E40=Lookups!$C$7,4,IF(E40=Lookups!$C$8,5,0)))))</f>
        <v>0</v>
      </c>
      <c r="U40" s="13">
        <f>IF(I40=Lookups!$B$4,1,IF(I40=Lookups!$B$5,2,IF(I40=Lookups!$B$6,3,IF(I40=Lookups!$B$7,4,IF(I40=Lookups!$B$8,5,0)))))</f>
        <v>0</v>
      </c>
      <c r="V40" s="13">
        <f>IF(J40=Lookups!$C$4,1,IF(J40=Lookups!$C$5,2,IF(J40=Lookups!$C$6,3,IF(J40=Lookups!$C$7,4,IF(J40=Lookups!$C$8,5,0)))))</f>
        <v>0</v>
      </c>
    </row>
    <row r="41" spans="2:22" x14ac:dyDescent="0.35">
      <c r="B41" s="30"/>
      <c r="C41" s="8" t="s">
        <v>31</v>
      </c>
      <c r="D41" s="4"/>
      <c r="E41" s="4"/>
      <c r="F41" s="4" t="str">
        <f>IF(P41*Q41=0,$S$14,VLOOKUP(Q41,Lookups!$D$4:$J$8,'Implementation Phase'!P41+2))</f>
        <v>Select L  &amp; C</v>
      </c>
      <c r="G41" s="5"/>
      <c r="H41" s="5"/>
      <c r="I41" s="4"/>
      <c r="J41" s="4"/>
      <c r="K41" s="4" t="str">
        <f>IF(U41*V41=0,$S$14,VLOOKUP(V41,Lookups!$D$4:$J$8,'Implementation Phase'!U41+2))</f>
        <v>Select L  &amp; C</v>
      </c>
      <c r="L41" s="4"/>
      <c r="M41" s="5"/>
      <c r="N41" s="5"/>
      <c r="P41" s="13">
        <f>IF(D41=Lookups!$B$4,1,IF(D41=Lookups!$B$5,2,IF(D41=Lookups!$B$6,3,IF(D41=Lookups!$B$7,4,IF(D41=Lookups!$B$8,5,0)))))</f>
        <v>0</v>
      </c>
      <c r="Q41" s="13">
        <f>IF(E41=Lookups!$C$4,1,IF(E41=Lookups!$C$5,2,IF(E41=Lookups!$C$6,3,IF(E41=Lookups!$C$7,4,IF(E41=Lookups!$C$8,5,0)))))</f>
        <v>0</v>
      </c>
      <c r="U41" s="13">
        <f>IF(I41=Lookups!$B$4,1,IF(I41=Lookups!$B$5,2,IF(I41=Lookups!$B$6,3,IF(I41=Lookups!$B$7,4,IF(I41=Lookups!$B$8,5,0)))))</f>
        <v>0</v>
      </c>
      <c r="V41" s="13">
        <f>IF(J41=Lookups!$C$4,1,IF(J41=Lookups!$C$5,2,IF(J41=Lookups!$C$6,3,IF(J41=Lookups!$C$7,4,IF(J41=Lookups!$C$8,5,0)))))</f>
        <v>0</v>
      </c>
    </row>
    <row r="42" spans="2:22" ht="43.5" x14ac:dyDescent="0.35">
      <c r="B42" s="8" t="s">
        <v>238</v>
      </c>
      <c r="C42" s="8" t="s">
        <v>16</v>
      </c>
      <c r="D42" s="4"/>
      <c r="E42" s="4"/>
      <c r="F42" s="4" t="str">
        <f>IF(P42*Q42=0,$S$14,VLOOKUP(Q42,Lookups!$D$4:$J$8,'Implementation Phase'!P42+2))</f>
        <v>Select L  &amp; C</v>
      </c>
      <c r="G42" s="5"/>
      <c r="H42" s="5"/>
      <c r="I42" s="4"/>
      <c r="J42" s="4"/>
      <c r="K42" s="4" t="str">
        <f>IF(U42*V42=0,$S$14,VLOOKUP(V42,Lookups!$D$4:$J$8,'Implementation Phase'!U42+2))</f>
        <v>Select L  &amp; C</v>
      </c>
      <c r="L42" s="4"/>
      <c r="M42" s="5"/>
      <c r="N42" s="5"/>
      <c r="P42" s="13">
        <f>IF(D42=Lookups!$B$4,1,IF(D42=Lookups!$B$5,2,IF(D42=Lookups!$B$6,3,IF(D42=Lookups!$B$7,4,IF(D42=Lookups!$B$8,5,0)))))</f>
        <v>0</v>
      </c>
      <c r="Q42" s="13">
        <f>IF(E42=Lookups!$C$4,1,IF(E42=Lookups!$C$5,2,IF(E42=Lookups!$C$6,3,IF(E42=Lookups!$C$7,4,IF(E42=Lookups!$C$8,5,0)))))</f>
        <v>0</v>
      </c>
      <c r="U42" s="13">
        <f>IF(I42=Lookups!$B$4,1,IF(I42=Lookups!$B$5,2,IF(I42=Lookups!$B$6,3,IF(I42=Lookups!$B$7,4,IF(I42=Lookups!$B$8,5,0)))))</f>
        <v>0</v>
      </c>
      <c r="V42" s="13">
        <f>IF(J42=Lookups!$C$4,1,IF(J42=Lookups!$C$5,2,IF(J42=Lookups!$C$6,3,IF(J42=Lookups!$C$7,4,IF(J42=Lookups!$C$8,5,0)))))</f>
        <v>0</v>
      </c>
    </row>
    <row r="43" spans="2:22" x14ac:dyDescent="0.35">
      <c r="B43" s="29" t="s">
        <v>239</v>
      </c>
      <c r="C43" s="8" t="s">
        <v>25</v>
      </c>
      <c r="D43" s="4"/>
      <c r="E43" s="4"/>
      <c r="F43" s="4" t="str">
        <f>IF(P43*Q43=0,$S$14,VLOOKUP(Q43,Lookups!$D$4:$J$8,'Implementation Phase'!P43+2))</f>
        <v>Select L  &amp; C</v>
      </c>
      <c r="G43" s="5"/>
      <c r="H43" s="5"/>
      <c r="I43" s="4"/>
      <c r="J43" s="4"/>
      <c r="K43" s="4" t="str">
        <f>IF(U43*V43=0,$S$14,VLOOKUP(V43,Lookups!$D$4:$J$8,'Implementation Phase'!U43+2))</f>
        <v>Select L  &amp; C</v>
      </c>
      <c r="L43" s="4"/>
      <c r="M43" s="5"/>
      <c r="N43" s="5"/>
      <c r="P43" s="13">
        <f>IF(D43=Lookups!$B$4,1,IF(D43=Lookups!$B$5,2,IF(D43=Lookups!$B$6,3,IF(D43=Lookups!$B$7,4,IF(D43=Lookups!$B$8,5,0)))))</f>
        <v>0</v>
      </c>
      <c r="Q43" s="13">
        <f>IF(E43=Lookups!$C$4,1,IF(E43=Lookups!$C$5,2,IF(E43=Lookups!$C$6,3,IF(E43=Lookups!$C$7,4,IF(E43=Lookups!$C$8,5,0)))))</f>
        <v>0</v>
      </c>
      <c r="U43" s="13">
        <f>IF(I43=Lookups!$B$4,1,IF(I43=Lookups!$B$5,2,IF(I43=Lookups!$B$6,3,IF(I43=Lookups!$B$7,4,IF(I43=Lookups!$B$8,5,0)))))</f>
        <v>0</v>
      </c>
      <c r="V43" s="13">
        <f>IF(J43=Lookups!$C$4,1,IF(J43=Lookups!$C$5,2,IF(J43=Lookups!$C$6,3,IF(J43=Lookups!$C$7,4,IF(J43=Lookups!$C$8,5,0)))))</f>
        <v>0</v>
      </c>
    </row>
    <row r="44" spans="2:22" x14ac:dyDescent="0.35">
      <c r="B44" s="31"/>
      <c r="C44" s="8" t="s">
        <v>39</v>
      </c>
      <c r="D44" s="4"/>
      <c r="E44" s="4"/>
      <c r="F44" s="4" t="str">
        <f>IF(P44*Q44=0,$S$14,VLOOKUP(Q44,Lookups!$D$4:$J$8,'Implementation Phase'!P44+2))</f>
        <v>Select L  &amp; C</v>
      </c>
      <c r="G44" s="5"/>
      <c r="H44" s="5"/>
      <c r="I44" s="4"/>
      <c r="J44" s="4"/>
      <c r="K44" s="4" t="str">
        <f>IF(U44*V44=0,$S$14,VLOOKUP(V44,Lookups!$D$4:$J$8,'Implementation Phase'!U44+2))</f>
        <v>Select L  &amp; C</v>
      </c>
      <c r="L44" s="4"/>
      <c r="M44" s="5"/>
      <c r="N44" s="5"/>
      <c r="P44" s="13">
        <f>IF(D44=Lookups!$B$4,1,IF(D44=Lookups!$B$5,2,IF(D44=Lookups!$B$6,3,IF(D44=Lookups!$B$7,4,IF(D44=Lookups!$B$8,5,0)))))</f>
        <v>0</v>
      </c>
      <c r="Q44" s="13">
        <f>IF(E44=Lookups!$C$4,1,IF(E44=Lookups!$C$5,2,IF(E44=Lookups!$C$6,3,IF(E44=Lookups!$C$7,4,IF(E44=Lookups!$C$8,5,0)))))</f>
        <v>0</v>
      </c>
      <c r="U44" s="13">
        <f>IF(I44=Lookups!$B$4,1,IF(I44=Lookups!$B$5,2,IF(I44=Lookups!$B$6,3,IF(I44=Lookups!$B$7,4,IF(I44=Lookups!$B$8,5,0)))))</f>
        <v>0</v>
      </c>
      <c r="V44" s="13">
        <f>IF(J44=Lookups!$C$4,1,IF(J44=Lookups!$C$5,2,IF(J44=Lookups!$C$6,3,IF(J44=Lookups!$C$7,4,IF(J44=Lookups!$C$8,5,0)))))</f>
        <v>0</v>
      </c>
    </row>
    <row r="45" spans="2:22" ht="29" x14ac:dyDescent="0.35">
      <c r="B45" s="31"/>
      <c r="C45" s="8" t="s">
        <v>260</v>
      </c>
      <c r="D45" s="4"/>
      <c r="E45" s="4"/>
      <c r="F45" s="4"/>
      <c r="G45" s="5"/>
      <c r="H45" s="5"/>
      <c r="I45" s="4"/>
      <c r="J45" s="4"/>
      <c r="K45" s="4"/>
      <c r="L45" s="4"/>
      <c r="M45" s="5"/>
      <c r="N45" s="5"/>
    </row>
    <row r="46" spans="2:22" ht="31" customHeight="1" x14ac:dyDescent="0.35">
      <c r="B46" s="30"/>
      <c r="C46" s="8" t="s">
        <v>40</v>
      </c>
      <c r="D46" s="4"/>
      <c r="E46" s="4"/>
      <c r="F46" s="4" t="str">
        <f>IF(P46*Q46=0,$S$14,VLOOKUP(Q46,Lookups!$D$4:$J$8,'Implementation Phase'!P46+2))</f>
        <v>Select L  &amp; C</v>
      </c>
      <c r="G46" s="5"/>
      <c r="H46" s="5"/>
      <c r="I46" s="4"/>
      <c r="J46" s="4"/>
      <c r="K46" s="4" t="str">
        <f>IF(U46*V46=0,$S$14,VLOOKUP(V46,Lookups!$D$4:$J$8,'Implementation Phase'!U46+2))</f>
        <v>Select L  &amp; C</v>
      </c>
      <c r="L46" s="4"/>
      <c r="M46" s="5"/>
      <c r="N46" s="5"/>
      <c r="P46" s="13">
        <f>IF(D46=Lookups!$B$4,1,IF(D46=Lookups!$B$5,2,IF(D46=Lookups!$B$6,3,IF(D46=Lookups!$B$7,4,IF(D46=Lookups!$B$8,5,0)))))</f>
        <v>0</v>
      </c>
      <c r="Q46" s="13">
        <f>IF(E46=Lookups!$C$4,1,IF(E46=Lookups!$C$5,2,IF(E46=Lookups!$C$6,3,IF(E46=Lookups!$C$7,4,IF(E46=Lookups!$C$8,5,0)))))</f>
        <v>0</v>
      </c>
      <c r="U46" s="13">
        <f>IF(I46=Lookups!$B$4,1,IF(I46=Lookups!$B$5,2,IF(I46=Lookups!$B$6,3,IF(I46=Lookups!$B$7,4,IF(I46=Lookups!$B$8,5,0)))))</f>
        <v>0</v>
      </c>
      <c r="V46" s="13">
        <f>IF(J46=Lookups!$C$4,1,IF(J46=Lookups!$C$5,2,IF(J46=Lookups!$C$6,3,IF(J46=Lookups!$C$7,4,IF(J46=Lookups!$C$8,5,0)))))</f>
        <v>0</v>
      </c>
    </row>
    <row r="47" spans="2:22" ht="43.5" x14ac:dyDescent="0.35">
      <c r="B47" s="8" t="s">
        <v>240</v>
      </c>
      <c r="C47" s="8" t="s">
        <v>241</v>
      </c>
      <c r="D47" s="4"/>
      <c r="E47" s="4"/>
      <c r="F47" s="4" t="str">
        <f>IF(P47*Q47=0,$S$14,VLOOKUP(Q47,Lookups!$D$4:$J$8,'Implementation Phase'!P47+2))</f>
        <v>Select L  &amp; C</v>
      </c>
      <c r="G47" s="5"/>
      <c r="H47" s="5"/>
      <c r="I47" s="4"/>
      <c r="J47" s="4"/>
      <c r="K47" s="4" t="str">
        <f>IF(U47*V47=0,$S$14,VLOOKUP(V47,Lookups!$D$4:$J$8,'Implementation Phase'!U47+2))</f>
        <v>Select L  &amp; C</v>
      </c>
      <c r="L47" s="4"/>
      <c r="M47" s="5"/>
      <c r="N47" s="5"/>
    </row>
    <row r="48" spans="2:22" ht="43.5" x14ac:dyDescent="0.35">
      <c r="B48" s="8" t="s">
        <v>242</v>
      </c>
      <c r="C48" s="8" t="s">
        <v>243</v>
      </c>
      <c r="D48" s="4"/>
      <c r="E48" s="4"/>
      <c r="F48" s="4" t="str">
        <f>IF(P48*Q48=0,$S$14,VLOOKUP(Q48,Lookups!$D$4:$J$8,'Implementation Phase'!P48+2))</f>
        <v>Select L  &amp; C</v>
      </c>
      <c r="G48" s="5"/>
      <c r="H48" s="5"/>
      <c r="I48" s="4"/>
      <c r="J48" s="4"/>
      <c r="K48" s="4" t="str">
        <f>IF(U48*V48=0,$S$14,VLOOKUP(V48,Lookups!$D$4:$J$8,'Implementation Phase'!U48+2))</f>
        <v>Select L  &amp; C</v>
      </c>
      <c r="L48" s="4"/>
      <c r="M48" s="5"/>
      <c r="N48" s="5"/>
    </row>
    <row r="49" spans="2:22" ht="72.5" x14ac:dyDescent="0.35">
      <c r="B49" s="8" t="s">
        <v>247</v>
      </c>
      <c r="C49" s="8" t="s">
        <v>248</v>
      </c>
      <c r="D49" s="4"/>
      <c r="E49" s="4"/>
      <c r="F49" s="4" t="str">
        <f>IF(P49*Q49=0,$S$14,VLOOKUP(Q49,Lookups!$D$4:$J$8,'Implementation Phase'!P49+2))</f>
        <v>Select L  &amp; C</v>
      </c>
      <c r="G49" s="5"/>
      <c r="H49" s="5"/>
      <c r="I49" s="4"/>
      <c r="J49" s="4"/>
      <c r="K49" s="4" t="str">
        <f>IF(U49*V49=0,$S$14,VLOOKUP(V49,Lookups!$D$4:$J$8,'Implementation Phase'!U49+2))</f>
        <v>Select L  &amp; C</v>
      </c>
      <c r="L49" s="4"/>
      <c r="M49" s="5"/>
      <c r="N49" s="5"/>
    </row>
    <row r="50" spans="2:22" ht="43.5" x14ac:dyDescent="0.35">
      <c r="B50" s="8" t="s">
        <v>258</v>
      </c>
      <c r="C50" s="8" t="s">
        <v>248</v>
      </c>
      <c r="D50" s="4"/>
      <c r="E50" s="4"/>
      <c r="F50" s="4" t="str">
        <f>IF(P50*Q50=0,$S$14,VLOOKUP(Q50,Lookups!$D$4:$J$8,'Implementation Phase'!P50+2))</f>
        <v>Select L  &amp; C</v>
      </c>
      <c r="G50" s="5"/>
      <c r="H50" s="5"/>
      <c r="I50" s="4"/>
      <c r="J50" s="4"/>
      <c r="K50" s="4" t="str">
        <f>IF(U50*V50=0,$S$14,VLOOKUP(V50,Lookups!$D$4:$J$8,'Implementation Phase'!U50+2))</f>
        <v>Select L  &amp; C</v>
      </c>
      <c r="L50" s="4"/>
      <c r="M50" s="5"/>
      <c r="N50" s="5"/>
    </row>
    <row r="51" spans="2:22" x14ac:dyDescent="0.35">
      <c r="B51" s="8" t="s">
        <v>261</v>
      </c>
      <c r="C51" s="8" t="s">
        <v>262</v>
      </c>
      <c r="D51" s="4"/>
      <c r="E51" s="4"/>
      <c r="F51" s="4" t="str">
        <f>IF(P51*Q51=0,$S$14,VLOOKUP(Q51,Lookups!$D$4:$J$8,'Implementation Phase'!P51+2))</f>
        <v>Select L  &amp; C</v>
      </c>
      <c r="G51" s="5"/>
      <c r="H51" s="5"/>
      <c r="I51" s="4"/>
      <c r="J51" s="4"/>
      <c r="K51" s="4" t="str">
        <f>IF(U51*V51=0,$S$14,VLOOKUP(V51,Lookups!$D$4:$J$8,'Implementation Phase'!U51+2))</f>
        <v>Select L  &amp; C</v>
      </c>
      <c r="L51" s="4"/>
      <c r="M51" s="5"/>
      <c r="N51" s="5"/>
    </row>
    <row r="52" spans="2:22" ht="43.5" x14ac:dyDescent="0.35">
      <c r="B52" s="8" t="s">
        <v>249</v>
      </c>
      <c r="C52" s="8" t="s">
        <v>250</v>
      </c>
      <c r="D52" s="4"/>
      <c r="E52" s="4"/>
      <c r="F52" s="4" t="str">
        <f>IF(P52*Q52=0,$S$14,VLOOKUP(Q52,Lookups!$D$4:$J$8,'Implementation Phase'!P52+2))</f>
        <v>Select L  &amp; C</v>
      </c>
      <c r="G52" s="5"/>
      <c r="H52" s="5"/>
      <c r="I52" s="4"/>
      <c r="J52" s="4"/>
      <c r="K52" s="4" t="str">
        <f>IF(U52*V52=0,$S$14,VLOOKUP(V52,Lookups!$D$4:$J$8,'Implementation Phase'!U52+2))</f>
        <v>Select L  &amp; C</v>
      </c>
      <c r="L52" s="4"/>
      <c r="M52" s="5"/>
      <c r="N52" s="5"/>
    </row>
    <row r="53" spans="2:22" ht="58" x14ac:dyDescent="0.35">
      <c r="B53" s="8" t="s">
        <v>251</v>
      </c>
      <c r="C53" s="8" t="s">
        <v>252</v>
      </c>
      <c r="D53" s="4"/>
      <c r="E53" s="4"/>
      <c r="F53" s="4" t="str">
        <f>IF(P53*Q53=0,$S$14,VLOOKUP(Q53,Lookups!$D$4:$J$8,'Implementation Phase'!P53+2))</f>
        <v>Select L  &amp; C</v>
      </c>
      <c r="G53" s="5"/>
      <c r="H53" s="5"/>
      <c r="I53" s="4"/>
      <c r="J53" s="4"/>
      <c r="K53" s="4" t="str">
        <f>IF(U53*V53=0,$S$14,VLOOKUP(V53,Lookups!$D$4:$J$8,'Implementation Phase'!U53+2))</f>
        <v>Select L  &amp; C</v>
      </c>
      <c r="L53" s="4"/>
      <c r="M53" s="5"/>
      <c r="N53" s="5"/>
    </row>
    <row r="54" spans="2:22" ht="43.5" x14ac:dyDescent="0.35">
      <c r="B54" s="8" t="s">
        <v>253</v>
      </c>
      <c r="C54" s="8" t="s">
        <v>254</v>
      </c>
      <c r="D54" s="4"/>
      <c r="E54" s="4"/>
      <c r="F54" s="4" t="str">
        <f>IF(P54*Q54=0,$S$14,VLOOKUP(Q54,Lookups!$D$4:$J$8,'Implementation Phase'!P54+2))</f>
        <v>Select L  &amp; C</v>
      </c>
      <c r="G54" s="5"/>
      <c r="H54" s="5"/>
      <c r="I54" s="4"/>
      <c r="J54" s="4"/>
      <c r="K54" s="4" t="str">
        <f>IF(U54*V54=0,$S$14,VLOOKUP(V54,Lookups!$D$4:$J$8,'Implementation Phase'!U54+2))</f>
        <v>Select L  &amp; C</v>
      </c>
      <c r="L54" s="4"/>
      <c r="M54" s="5"/>
      <c r="N54" s="5"/>
    </row>
    <row r="55" spans="2:22" s="1" customFormat="1" ht="14.5" customHeight="1" x14ac:dyDescent="0.35">
      <c r="B55" s="27" t="s">
        <v>37</v>
      </c>
      <c r="C55" s="35"/>
      <c r="D55" s="35"/>
      <c r="E55" s="35"/>
      <c r="F55" s="35"/>
      <c r="G55" s="35"/>
      <c r="H55" s="35"/>
      <c r="I55" s="35"/>
      <c r="J55" s="35"/>
      <c r="K55" s="35"/>
      <c r="L55" s="35"/>
      <c r="M55" s="35"/>
      <c r="N55" s="28"/>
      <c r="P55" s="13">
        <f>IF(D55=Lookups!$B$4,1,IF(D55=Lookups!$B$5,2,IF(D55=Lookups!$B$6,3,IF(D55=Lookups!$B$7,4,IF(D55=Lookups!$B$8,5,0)))))</f>
        <v>0</v>
      </c>
      <c r="Q55" s="13">
        <f>IF(E55=Lookups!$C$4,1,IF(E55=Lookups!$C$5,2,IF(E55=Lookups!$C$6,3,IF(E55=Lookups!$C$7,4,IF(E55=Lookups!$C$8,5,0)))))</f>
        <v>0</v>
      </c>
      <c r="U55" s="13">
        <f>IF(I55=Lookups!$B$4,1,IF(I55=Lookups!$B$5,2,IF(I55=Lookups!$B$6,3,IF(I55=Lookups!$B$7,4,IF(I55=Lookups!$B$8,5,0)))))</f>
        <v>0</v>
      </c>
      <c r="V55" s="13">
        <f>IF(J55=Lookups!$C$4,1,IF(J55=Lookups!$C$5,2,IF(J55=Lookups!$C$6,3,IF(J55=Lookups!$C$7,4,IF(J55=Lookups!$C$8,5,0)))))</f>
        <v>0</v>
      </c>
    </row>
    <row r="56" spans="2:22" ht="58" x14ac:dyDescent="0.35">
      <c r="B56" s="17" t="s">
        <v>79</v>
      </c>
      <c r="C56" s="8" t="s">
        <v>83</v>
      </c>
      <c r="D56" s="4"/>
      <c r="E56" s="4"/>
      <c r="F56" s="4" t="str">
        <f>IF(P56*Q56=0,$S$14,VLOOKUP(Q56,Lookups!$D$4:$J$8,'Implementation Phase'!P56+2))</f>
        <v>Select L  &amp; C</v>
      </c>
      <c r="G56" s="5"/>
      <c r="H56" s="5"/>
      <c r="I56" s="4"/>
      <c r="J56" s="4"/>
      <c r="K56" s="4" t="str">
        <f>IF(U56*V56=0,$S$14,VLOOKUP(V56,Lookups!$D$4:$J$8,'Implementation Phase'!U56+2))</f>
        <v>Select L  &amp; C</v>
      </c>
      <c r="L56" s="4"/>
      <c r="M56" s="5"/>
      <c r="N56" s="5"/>
      <c r="P56" s="13">
        <f>IF(D56=Lookups!$B$4,1,IF(D56=Lookups!$B$5,2,IF(D56=Lookups!$B$6,3,IF(D56=Lookups!$B$7,4,IF(D56=Lookups!$B$8,5,0)))))</f>
        <v>0</v>
      </c>
      <c r="Q56" s="13">
        <f>IF(E56=Lookups!$C$4,1,IF(E56=Lookups!$C$5,2,IF(E56=Lookups!$C$6,3,IF(E56=Lookups!$C$7,4,IF(E56=Lookups!$C$8,5,0)))))</f>
        <v>0</v>
      </c>
      <c r="U56" s="13">
        <f>IF(I56=Lookups!$B$4,1,IF(I56=Lookups!$B$5,2,IF(I56=Lookups!$B$6,3,IF(I56=Lookups!$B$7,4,IF(I56=Lookups!$B$8,5,0)))))</f>
        <v>0</v>
      </c>
      <c r="V56" s="13">
        <f>IF(J56=Lookups!$C$4,1,IF(J56=Lookups!$C$5,2,IF(J56=Lookups!$C$6,3,IF(J56=Lookups!$C$7,4,IF(J56=Lookups!$C$8,5,0)))))</f>
        <v>0</v>
      </c>
    </row>
    <row r="57" spans="2:22" ht="43.5" x14ac:dyDescent="0.35">
      <c r="B57" s="8" t="s">
        <v>20</v>
      </c>
      <c r="C57" s="8" t="s">
        <v>84</v>
      </c>
      <c r="D57" s="4"/>
      <c r="E57" s="4"/>
      <c r="F57" s="4" t="str">
        <f>IF(P57*Q57=0,$S$14,VLOOKUP(Q57,Lookups!$D$4:$J$8,'Implementation Phase'!P57+2))</f>
        <v>Select L  &amp; C</v>
      </c>
      <c r="G57" s="5"/>
      <c r="H57" s="5"/>
      <c r="I57" s="4"/>
      <c r="J57" s="4"/>
      <c r="K57" s="4" t="str">
        <f>IF(U57*V57=0,$S$14,VLOOKUP(V57,Lookups!$D$4:$J$8,'Implementation Phase'!U57+2))</f>
        <v>Select L  &amp; C</v>
      </c>
      <c r="L57" s="4"/>
      <c r="M57" s="5"/>
      <c r="N57" s="5"/>
      <c r="P57" s="13">
        <f>IF(D57=Lookups!$B$4,1,IF(D57=Lookups!$B$5,2,IF(D57=Lookups!$B$6,3,IF(D57=Lookups!$B$7,4,IF(D57=Lookups!$B$8,5,0)))))</f>
        <v>0</v>
      </c>
      <c r="Q57" s="13">
        <f>IF(E57=Lookups!$C$4,1,IF(E57=Lookups!$C$5,2,IF(E57=Lookups!$C$6,3,IF(E57=Lookups!$C$7,4,IF(E57=Lookups!$C$8,5,0)))))</f>
        <v>0</v>
      </c>
      <c r="U57" s="13">
        <f>IF(I57=Lookups!$B$4,1,IF(I57=Lookups!$B$5,2,IF(I57=Lookups!$B$6,3,IF(I57=Lookups!$B$7,4,IF(I57=Lookups!$B$8,5,0)))))</f>
        <v>0</v>
      </c>
      <c r="V57" s="13">
        <f>IF(J57=Lookups!$C$4,1,IF(J57=Lookups!$C$5,2,IF(J57=Lookups!$C$6,3,IF(J57=Lookups!$C$7,4,IF(J57=Lookups!$C$8,5,0)))))</f>
        <v>0</v>
      </c>
    </row>
    <row r="58" spans="2:22" x14ac:dyDescent="0.35">
      <c r="B58" s="27" t="s">
        <v>26</v>
      </c>
      <c r="C58" s="35"/>
      <c r="D58" s="35"/>
      <c r="E58" s="35"/>
      <c r="F58" s="35"/>
      <c r="G58" s="35"/>
      <c r="H58" s="35"/>
      <c r="I58" s="35"/>
      <c r="J58" s="35"/>
      <c r="K58" s="35"/>
      <c r="L58" s="35"/>
      <c r="M58" s="35"/>
      <c r="N58" s="28"/>
      <c r="P58" s="13">
        <f>IF(D58=Lookups!$B$4,1,IF(D58=Lookups!$B$5,2,IF(D58=Lookups!$B$6,3,IF(D58=Lookups!$B$7,4,IF(D58=Lookups!$B$8,5,0)))))</f>
        <v>0</v>
      </c>
      <c r="Q58" s="13">
        <f>IF(E58=Lookups!$C$4,1,IF(E58=Lookups!$C$5,2,IF(E58=Lookups!$C$6,3,IF(E58=Lookups!$C$7,4,IF(E58=Lookups!$C$8,5,0)))))</f>
        <v>0</v>
      </c>
      <c r="U58" s="13">
        <f>IF(I58=Lookups!$B$4,1,IF(I58=Lookups!$B$5,2,IF(I58=Lookups!$B$6,3,IF(I58=Lookups!$B$7,4,IF(I58=Lookups!$B$8,5,0)))))</f>
        <v>0</v>
      </c>
      <c r="V58" s="13">
        <f>IF(J58=Lookups!$C$4,1,IF(J58=Lookups!$C$5,2,IF(J58=Lookups!$C$6,3,IF(J58=Lookups!$C$7,4,IF(J58=Lookups!$C$8,5,0)))))</f>
        <v>0</v>
      </c>
    </row>
    <row r="59" spans="2:22" ht="29" x14ac:dyDescent="0.35">
      <c r="B59" s="19" t="s">
        <v>217</v>
      </c>
      <c r="C59" s="8" t="s">
        <v>218</v>
      </c>
      <c r="D59" s="4"/>
      <c r="E59" s="4"/>
      <c r="F59" s="4" t="str">
        <f>IF(P59*Q59=0,$S$14,VLOOKUP(Q59,Lookups!$D$4:$J$8,'Implementation Phase'!P59+2))</f>
        <v>Select L  &amp; C</v>
      </c>
      <c r="G59" s="5"/>
      <c r="H59" s="5"/>
      <c r="I59" s="4"/>
      <c r="J59" s="4"/>
      <c r="K59" s="4" t="str">
        <f>IF(U59*V59=0,$S$14,VLOOKUP(V59,Lookups!$D$4:$J$8,'Implementation Phase'!U59+2))</f>
        <v>Select L  &amp; C</v>
      </c>
      <c r="L59" s="4"/>
      <c r="M59" s="5"/>
      <c r="N59" s="5"/>
      <c r="P59" s="13">
        <f>IF(D59=Lookups!$B$4,1,IF(D59=Lookups!$B$5,2,IF(D59=Lookups!$B$6,3,IF(D59=Lookups!$B$7,4,IF(D59=Lookups!$B$8,5,0)))))</f>
        <v>0</v>
      </c>
      <c r="Q59" s="13">
        <f>IF(E59=Lookups!$C$4,1,IF(E59=Lookups!$C$5,2,IF(E59=Lookups!$C$6,3,IF(E59=Lookups!$C$7,4,IF(E59=Lookups!$C$8,5,0)))))</f>
        <v>0</v>
      </c>
      <c r="U59" s="13">
        <f>IF(I59=Lookups!$B$4,1,IF(I59=Lookups!$B$5,2,IF(I59=Lookups!$B$6,3,IF(I59=Lookups!$B$7,4,IF(I59=Lookups!$B$8,5,0)))))</f>
        <v>0</v>
      </c>
      <c r="V59" s="13">
        <f>IF(J59=Lookups!$C$4,1,IF(J59=Lookups!$C$5,2,IF(J59=Lookups!$C$6,3,IF(J59=Lookups!$C$7,4,IF(J59=Lookups!$C$8,5,0)))))</f>
        <v>0</v>
      </c>
    </row>
    <row r="60" spans="2:22" x14ac:dyDescent="0.35">
      <c r="B60" s="27" t="s">
        <v>108</v>
      </c>
      <c r="C60" s="35"/>
      <c r="D60" s="35"/>
      <c r="E60" s="35"/>
      <c r="F60" s="35"/>
      <c r="G60" s="35"/>
      <c r="H60" s="35"/>
      <c r="I60" s="35"/>
      <c r="J60" s="35"/>
      <c r="K60" s="35"/>
      <c r="L60" s="35"/>
      <c r="M60" s="35"/>
      <c r="N60" s="28"/>
      <c r="P60" s="13">
        <f>IF(D60=Lookups!$B$4,1,IF(D60=Lookups!$B$5,2,IF(D60=Lookups!$B$6,3,IF(D60=Lookups!$B$7,4,IF(D60=Lookups!$B$8,5,0)))))</f>
        <v>0</v>
      </c>
      <c r="Q60" s="13">
        <f>IF(E60=Lookups!$C$4,1,IF(E60=Lookups!$C$5,2,IF(E60=Lookups!$C$6,3,IF(E60=Lookups!$C$7,4,IF(E60=Lookups!$C$8,5,0)))))</f>
        <v>0</v>
      </c>
      <c r="U60" s="13">
        <f>IF(I60=Lookups!$B$4,1,IF(I60=Lookups!$B$5,2,IF(I60=Lookups!$B$6,3,IF(I60=Lookups!$B$7,4,IF(I60=Lookups!$B$8,5,0)))))</f>
        <v>0</v>
      </c>
      <c r="V60" s="13">
        <f>IF(J60=Lookups!$C$4,1,IF(J60=Lookups!$C$5,2,IF(J60=Lookups!$C$6,3,IF(J60=Lookups!$C$7,4,IF(J60=Lookups!$C$8,5,0)))))</f>
        <v>0</v>
      </c>
    </row>
    <row r="61" spans="2:22" x14ac:dyDescent="0.35">
      <c r="B61" s="29" t="s">
        <v>71</v>
      </c>
      <c r="C61" s="8" t="s">
        <v>219</v>
      </c>
      <c r="D61" s="4"/>
      <c r="E61" s="4"/>
      <c r="F61" s="4" t="str">
        <f>IF(P61*Q61=0,$S$14,VLOOKUP(Q61,Lookups!$D$4:$J$8,'Implementation Phase'!P61+2))</f>
        <v>Select L  &amp; C</v>
      </c>
      <c r="G61" s="5"/>
      <c r="H61" s="5"/>
      <c r="I61" s="4"/>
      <c r="J61" s="4"/>
      <c r="K61" s="4" t="str">
        <f>IF(U61*V61=0,$S$14,VLOOKUP(V61,Lookups!$D$4:$J$8,'Implementation Phase'!U61+2))</f>
        <v>Select L  &amp; C</v>
      </c>
      <c r="L61" s="4"/>
      <c r="M61" s="5"/>
      <c r="N61" s="5"/>
      <c r="P61" s="13">
        <f>IF(D61=Lookups!$B$4,1,IF(D61=Lookups!$B$5,2,IF(D61=Lookups!$B$6,3,IF(D61=Lookups!$B$7,4,IF(D61=Lookups!$B$8,5,0)))))</f>
        <v>0</v>
      </c>
      <c r="Q61" s="13">
        <f>IF(E61=Lookups!$C$4,1,IF(E61=Lookups!$C$5,2,IF(E61=Lookups!$C$6,3,IF(E61=Lookups!$C$7,4,IF(E61=Lookups!$C$8,5,0)))))</f>
        <v>0</v>
      </c>
      <c r="U61" s="13">
        <f>IF(I61=Lookups!$B$4,1,IF(I61=Lookups!$B$5,2,IF(I61=Lookups!$B$6,3,IF(I61=Lookups!$B$7,4,IF(I61=Lookups!$B$8,5,0)))))</f>
        <v>0</v>
      </c>
      <c r="V61" s="13">
        <f>IF(J61=Lookups!$C$4,1,IF(J61=Lookups!$C$5,2,IF(J61=Lookups!$C$6,3,IF(J61=Lookups!$C$7,4,IF(J61=Lookups!$C$8,5,0)))))</f>
        <v>0</v>
      </c>
    </row>
    <row r="62" spans="2:22" x14ac:dyDescent="0.35">
      <c r="B62" s="31"/>
      <c r="C62" s="8" t="s">
        <v>220</v>
      </c>
      <c r="D62" s="4"/>
      <c r="E62" s="4"/>
      <c r="F62" s="4"/>
      <c r="G62" s="5"/>
      <c r="H62" s="5"/>
      <c r="I62" s="4"/>
      <c r="J62" s="4"/>
      <c r="K62" s="4"/>
      <c r="L62" s="4"/>
      <c r="M62" s="5"/>
      <c r="N62" s="5"/>
    </row>
    <row r="63" spans="2:22" ht="29" x14ac:dyDescent="0.35">
      <c r="B63" s="30"/>
      <c r="C63" s="8" t="s">
        <v>221</v>
      </c>
      <c r="D63" s="4"/>
      <c r="E63" s="4"/>
      <c r="F63" s="4" t="str">
        <f>IF(P63*Q63=0,$S$14,VLOOKUP(Q63,Lookups!$D$4:$J$8,'Implementation Phase'!P63+2))</f>
        <v>Select L  &amp; C</v>
      </c>
      <c r="G63" s="5"/>
      <c r="H63" s="5"/>
      <c r="I63" s="4"/>
      <c r="J63" s="4"/>
      <c r="K63" s="4" t="str">
        <f>IF(U63*V63=0,$S$14,VLOOKUP(V63,Lookups!$D$4:$J$8,'Implementation Phase'!U63+2))</f>
        <v>Select L  &amp; C</v>
      </c>
      <c r="L63" s="4"/>
      <c r="M63" s="5"/>
      <c r="N63" s="5"/>
      <c r="P63" s="13">
        <f>IF(D63=Lookups!$B$4,1,IF(D63=Lookups!$B$5,2,IF(D63=Lookups!$B$6,3,IF(D63=Lookups!$B$7,4,IF(D63=Lookups!$B$8,5,0)))))</f>
        <v>0</v>
      </c>
      <c r="Q63" s="13">
        <f>IF(E63=Lookups!$C$4,1,IF(E63=Lookups!$C$5,2,IF(E63=Lookups!$C$6,3,IF(E63=Lookups!$C$7,4,IF(E63=Lookups!$C$8,5,0)))))</f>
        <v>0</v>
      </c>
      <c r="U63" s="13">
        <f>IF(I63=Lookups!$B$4,1,IF(I63=Lookups!$B$5,2,IF(I63=Lookups!$B$6,3,IF(I63=Lookups!$B$7,4,IF(I63=Lookups!$B$8,5,0)))))</f>
        <v>0</v>
      </c>
      <c r="V63" s="13">
        <f>IF(J63=Lookups!$C$4,1,IF(J63=Lookups!$C$5,2,IF(J63=Lookups!$C$6,3,IF(J63=Lookups!$C$7,4,IF(J63=Lookups!$C$8,5,0)))))</f>
        <v>0</v>
      </c>
    </row>
    <row r="64" spans="2:22" ht="29" x14ac:dyDescent="0.35">
      <c r="B64" s="8" t="s">
        <v>187</v>
      </c>
      <c r="C64" s="8" t="s">
        <v>188</v>
      </c>
      <c r="D64" s="4"/>
      <c r="E64" s="4"/>
      <c r="F64" s="4" t="str">
        <f>IF(P64*Q64=0,$S$14,VLOOKUP(Q64,Lookups!$D$4:$J$8,'Implementation Phase'!P64+2))</f>
        <v>Select L  &amp; C</v>
      </c>
      <c r="G64" s="5"/>
      <c r="H64" s="5"/>
      <c r="I64" s="4"/>
      <c r="J64" s="4"/>
      <c r="K64" s="4" t="str">
        <f>IF(U64*V64=0,$S$14,VLOOKUP(V64,Lookups!$D$4:$J$8,'Implementation Phase'!U64+2))</f>
        <v>Select L  &amp; C</v>
      </c>
      <c r="L64" s="4"/>
      <c r="M64" s="5"/>
      <c r="N64" s="5"/>
      <c r="P64" s="13">
        <f>IF(D64=Lookups!$B$4,1,IF(D64=Lookups!$B$5,2,IF(D64=Lookups!$B$6,3,IF(D64=Lookups!$B$7,4,IF(D64=Lookups!$B$8,5,0)))))</f>
        <v>0</v>
      </c>
      <c r="Q64" s="13">
        <f>IF(E64=Lookups!$C$4,1,IF(E64=Lookups!$C$5,2,IF(E64=Lookups!$C$6,3,IF(E64=Lookups!$C$7,4,IF(E64=Lookups!$C$8,5,0)))))</f>
        <v>0</v>
      </c>
      <c r="U64" s="13">
        <f>IF(I64=Lookups!$B$4,1,IF(I64=Lookups!$B$5,2,IF(I64=Lookups!$B$6,3,IF(I64=Lookups!$B$7,4,IF(I64=Lookups!$B$8,5,0)))))</f>
        <v>0</v>
      </c>
      <c r="V64" s="13">
        <f>IF(J64=Lookups!$C$4,1,IF(J64=Lookups!$C$5,2,IF(J64=Lookups!$C$6,3,IF(J64=Lookups!$C$7,4,IF(J64=Lookups!$C$8,5,0)))))</f>
        <v>0</v>
      </c>
    </row>
    <row r="65" spans="2:22" ht="29" x14ac:dyDescent="0.35">
      <c r="B65" s="8" t="s">
        <v>21</v>
      </c>
      <c r="C65" s="8" t="s">
        <v>188</v>
      </c>
      <c r="D65" s="4"/>
      <c r="E65" s="4"/>
      <c r="F65" s="4" t="str">
        <f>IF(P65*Q65=0,$S$14,VLOOKUP(Q65,Lookups!$D$4:$J$8,'Implementation Phase'!P65+2))</f>
        <v>Select L  &amp; C</v>
      </c>
      <c r="G65" s="5"/>
      <c r="H65" s="5"/>
      <c r="I65" s="4"/>
      <c r="J65" s="4"/>
      <c r="K65" s="4" t="str">
        <f>IF(U65*V65=0,$S$14,VLOOKUP(V65,Lookups!$D$4:$J$8,'Implementation Phase'!U65+2))</f>
        <v>Select L  &amp; C</v>
      </c>
      <c r="L65" s="4"/>
      <c r="M65" s="5"/>
      <c r="N65" s="5"/>
      <c r="P65" s="13">
        <f>IF(D65=Lookups!$B$4,1,IF(D65=Lookups!$B$5,2,IF(D65=Lookups!$B$6,3,IF(D65=Lookups!$B$7,4,IF(D65=Lookups!$B$8,5,0)))))</f>
        <v>0</v>
      </c>
      <c r="Q65" s="13">
        <f>IF(E65=Lookups!$C$4,1,IF(E65=Lookups!$C$5,2,IF(E65=Lookups!$C$6,3,IF(E65=Lookups!$C$7,4,IF(E65=Lookups!$C$8,5,0)))))</f>
        <v>0</v>
      </c>
      <c r="U65" s="13">
        <f>IF(I65=Lookups!$B$4,1,IF(I65=Lookups!$B$5,2,IF(I65=Lookups!$B$6,3,IF(I65=Lookups!$B$7,4,IF(I65=Lookups!$B$8,5,0)))))</f>
        <v>0</v>
      </c>
      <c r="V65" s="13">
        <f>IF(J65=Lookups!$C$4,1,IF(J65=Lookups!$C$5,2,IF(J65=Lookups!$C$6,3,IF(J65=Lookups!$C$7,4,IF(J65=Lookups!$C$8,5,0)))))</f>
        <v>0</v>
      </c>
    </row>
    <row r="66" spans="2:22" ht="29" x14ac:dyDescent="0.35">
      <c r="B66" s="8" t="s">
        <v>190</v>
      </c>
      <c r="C66" s="8" t="s">
        <v>191</v>
      </c>
      <c r="D66" s="4"/>
      <c r="E66" s="4"/>
      <c r="F66" s="4" t="str">
        <f>IF(P66*Q66=0,$S$14,VLOOKUP(Q66,Lookups!$D$4:$J$8,'Implementation Phase'!P66+2))</f>
        <v>Select L  &amp; C</v>
      </c>
      <c r="G66" s="5"/>
      <c r="H66" s="5"/>
      <c r="I66" s="4"/>
      <c r="J66" s="4"/>
      <c r="K66" s="4" t="str">
        <f>IF(U66*V66=0,$S$14,VLOOKUP(V66,Lookups!$D$4:$J$8,'Implementation Phase'!U66+2))</f>
        <v>Select L  &amp; C</v>
      </c>
      <c r="L66" s="4"/>
      <c r="M66" s="5"/>
      <c r="N66" s="5"/>
      <c r="P66" s="13">
        <f>IF(D66=Lookups!$B$4,1,IF(D66=Lookups!$B$5,2,IF(D66=Lookups!$B$6,3,IF(D66=Lookups!$B$7,4,IF(D66=Lookups!$B$8,5,0)))))</f>
        <v>0</v>
      </c>
      <c r="Q66" s="13">
        <f>IF(E66=Lookups!$C$4,1,IF(E66=Lookups!$C$5,2,IF(E66=Lookups!$C$6,3,IF(E66=Lookups!$C$7,4,IF(E66=Lookups!$C$8,5,0)))))</f>
        <v>0</v>
      </c>
      <c r="U66" s="13">
        <f>IF(I66=Lookups!$B$4,1,IF(I66=Lookups!$B$5,2,IF(I66=Lookups!$B$6,3,IF(I66=Lookups!$B$7,4,IF(I66=Lookups!$B$8,5,0)))))</f>
        <v>0</v>
      </c>
      <c r="V66" s="13">
        <f>IF(J66=Lookups!$C$4,1,IF(J66=Lookups!$C$5,2,IF(J66=Lookups!$C$6,3,IF(J66=Lookups!$C$7,4,IF(J66=Lookups!$C$8,5,0)))))</f>
        <v>0</v>
      </c>
    </row>
    <row r="67" spans="2:22" x14ac:dyDescent="0.35">
      <c r="B67" s="27" t="s">
        <v>29</v>
      </c>
      <c r="C67" s="35"/>
      <c r="D67" s="35"/>
      <c r="E67" s="35"/>
      <c r="F67" s="35"/>
      <c r="G67" s="35"/>
      <c r="H67" s="35"/>
      <c r="I67" s="35"/>
      <c r="J67" s="35"/>
      <c r="K67" s="35"/>
      <c r="L67" s="35"/>
      <c r="M67" s="35"/>
      <c r="N67" s="28"/>
      <c r="P67" s="13">
        <f>IF(D67=Lookups!$B$4,1,IF(D67=Lookups!$B$5,2,IF(D67=Lookups!$B$6,3,IF(D67=Lookups!$B$7,4,IF(D67=Lookups!$B$8,5,0)))))</f>
        <v>0</v>
      </c>
      <c r="Q67" s="13">
        <f>IF(E67=Lookups!$C$4,1,IF(E67=Lookups!$C$5,2,IF(E67=Lookups!$C$6,3,IF(E67=Lookups!$C$7,4,IF(E67=Lookups!$C$8,5,0)))))</f>
        <v>0</v>
      </c>
      <c r="U67" s="13">
        <f>IF(I67=Lookups!$B$4,1,IF(I67=Lookups!$B$5,2,IF(I67=Lookups!$B$6,3,IF(I67=Lookups!$B$7,4,IF(I67=Lookups!$B$8,5,0)))))</f>
        <v>0</v>
      </c>
      <c r="V67" s="13">
        <f>IF(J67=Lookups!$C$4,1,IF(J67=Lookups!$C$5,2,IF(J67=Lookups!$C$6,3,IF(J67=Lookups!$C$7,4,IF(J67=Lookups!$C$8,5,0)))))</f>
        <v>0</v>
      </c>
    </row>
    <row r="68" spans="2:22" ht="72.5" x14ac:dyDescent="0.35">
      <c r="B68" s="8" t="s">
        <v>109</v>
      </c>
      <c r="C68" s="8" t="s">
        <v>222</v>
      </c>
      <c r="D68" s="4"/>
      <c r="E68" s="4"/>
      <c r="F68" s="4" t="str">
        <f>IF(P68*Q68=0,$S$14,VLOOKUP(Q68,Lookups!$D$4:$J$8,'Implementation Phase'!P68+2))</f>
        <v>Select L  &amp; C</v>
      </c>
      <c r="G68" s="5"/>
      <c r="H68" s="5"/>
      <c r="I68" s="4"/>
      <c r="J68" s="4"/>
      <c r="K68" s="4" t="str">
        <f>IF(U68*V68=0,$S$14,VLOOKUP(V68,Lookups!$D$4:$J$8,'Implementation Phase'!U68+2))</f>
        <v>Select L  &amp; C</v>
      </c>
      <c r="L68" s="4"/>
      <c r="M68" s="5"/>
      <c r="N68" s="5"/>
      <c r="P68" s="13">
        <f>IF(D68=Lookups!$B$4,1,IF(D68=Lookups!$B$5,2,IF(D68=Lookups!$B$6,3,IF(D68=Lookups!$B$7,4,IF(D68=Lookups!$B$8,5,0)))))</f>
        <v>0</v>
      </c>
      <c r="Q68" s="13">
        <f>IF(E68=Lookups!$C$4,1,IF(E68=Lookups!$C$5,2,IF(E68=Lookups!$C$6,3,IF(E68=Lookups!$C$7,4,IF(E68=Lookups!$C$8,5,0)))))</f>
        <v>0</v>
      </c>
      <c r="U68" s="13">
        <f>IF(I68=Lookups!$B$4,1,IF(I68=Lookups!$B$5,2,IF(I68=Lookups!$B$6,3,IF(I68=Lookups!$B$7,4,IF(I68=Lookups!$B$8,5,0)))))</f>
        <v>0</v>
      </c>
      <c r="V68" s="13">
        <f>IF(J68=Lookups!$C$4,1,IF(J68=Lookups!$C$5,2,IF(J68=Lookups!$C$6,3,IF(J68=Lookups!$C$7,4,IF(J68=Lookups!$C$8,5,0)))))</f>
        <v>0</v>
      </c>
    </row>
    <row r="69" spans="2:22" ht="43.5" x14ac:dyDescent="0.35">
      <c r="B69" s="8" t="s">
        <v>142</v>
      </c>
      <c r="C69" s="8" t="s">
        <v>223</v>
      </c>
      <c r="D69" s="4"/>
      <c r="E69" s="4"/>
      <c r="F69" s="4" t="str">
        <f>IF(P69*Q69=0,$S$14,VLOOKUP(Q69,Lookups!$D$4:$J$8,'Implementation Phase'!P69+2))</f>
        <v>Select L  &amp; C</v>
      </c>
      <c r="G69" s="5"/>
      <c r="H69" s="5"/>
      <c r="I69" s="4"/>
      <c r="J69" s="4"/>
      <c r="K69" s="4" t="str">
        <f>IF(U69*V69=0,$S$14,VLOOKUP(V69,Lookups!$D$4:$J$8,'Implementation Phase'!U69+2))</f>
        <v>Select L  &amp; C</v>
      </c>
      <c r="L69" s="4"/>
      <c r="M69" s="5"/>
      <c r="N69" s="5"/>
    </row>
    <row r="70" spans="2:22" ht="58" x14ac:dyDescent="0.35">
      <c r="B70" s="8" t="s">
        <v>17</v>
      </c>
      <c r="C70" s="8" t="s">
        <v>185</v>
      </c>
      <c r="D70" s="4"/>
      <c r="E70" s="4"/>
      <c r="F70" s="4" t="str">
        <f>IF(P70*Q70=0,$S$14,VLOOKUP(Q70,Lookups!$D$4:$J$8,'Implementation Phase'!P70+2))</f>
        <v>Select L  &amp; C</v>
      </c>
      <c r="G70" s="5"/>
      <c r="H70" s="5"/>
      <c r="I70" s="4"/>
      <c r="J70" s="4"/>
      <c r="K70" s="4" t="str">
        <f>IF(U70*V70=0,$S$14,VLOOKUP(V70,Lookups!$D$4:$J$8,'Implementation Phase'!U70+2))</f>
        <v>Select L  &amp; C</v>
      </c>
      <c r="L70" s="11"/>
      <c r="M70" s="10"/>
      <c r="N70" s="10"/>
      <c r="P70" s="13">
        <f>IF(D70=Lookups!$B$4,1,IF(D70=Lookups!$B$5,2,IF(D70=Lookups!$B$6,3,IF(D70=Lookups!$B$7,4,IF(D70=Lookups!$B$8,5,0)))))</f>
        <v>0</v>
      </c>
      <c r="Q70" s="13">
        <f>IF(E70=Lookups!$C$4,1,IF(E70=Lookups!$C$5,2,IF(E70=Lookups!$C$6,3,IF(E70=Lookups!$C$7,4,IF(E70=Lookups!$C$8,5,0)))))</f>
        <v>0</v>
      </c>
      <c r="S70" t="s">
        <v>65</v>
      </c>
      <c r="U70" s="13">
        <f>IF(I70=Lookups!$B$4,1,IF(I70=Lookups!$B$5,2,IF(I70=Lookups!$B$6,3,IF(I70=Lookups!$B$7,4,IF(I70=Lookups!$B$8,5,0)))))</f>
        <v>0</v>
      </c>
      <c r="V70" s="13">
        <f>IF(J70=Lookups!$C$4,1,IF(J70=Lookups!$C$5,2,IF(J70=Lookups!$C$6,3,IF(J70=Lookups!$C$7,4,IF(J70=Lookups!$C$8,5,0)))))</f>
        <v>0</v>
      </c>
    </row>
    <row r="71" spans="2:22" ht="43.5" x14ac:dyDescent="0.35">
      <c r="B71" s="8" t="s">
        <v>142</v>
      </c>
      <c r="C71" s="8" t="s">
        <v>196</v>
      </c>
      <c r="D71" s="4"/>
      <c r="E71" s="4"/>
      <c r="F71" s="4" t="str">
        <f>IF(P71*Q71=0,$S$14,VLOOKUP(Q71,Lookups!$D$4:$J$8,'Implementation Phase'!P71+2))</f>
        <v>Select L  &amp; C</v>
      </c>
      <c r="G71" s="5"/>
      <c r="H71" s="5"/>
      <c r="I71" s="4"/>
      <c r="J71" s="4"/>
      <c r="K71" s="4" t="str">
        <f>IF(U71*V71=0,$S$14,VLOOKUP(V71,Lookups!$D$4:$J$8,'Implementation Phase'!U71+2))</f>
        <v>Select L  &amp; C</v>
      </c>
      <c r="L71" s="11"/>
      <c r="M71" s="10"/>
      <c r="N71" s="10"/>
    </row>
    <row r="72" spans="2:22" x14ac:dyDescent="0.35">
      <c r="B72" s="27" t="s">
        <v>165</v>
      </c>
      <c r="C72" s="35"/>
      <c r="D72" s="35"/>
      <c r="E72" s="35"/>
      <c r="F72" s="35"/>
      <c r="G72" s="35"/>
      <c r="H72" s="35"/>
      <c r="I72" s="35"/>
      <c r="J72" s="35"/>
      <c r="K72" s="35"/>
      <c r="L72" s="35"/>
      <c r="M72" s="35"/>
      <c r="N72" s="28"/>
      <c r="P72" s="13">
        <f>IF(D72=Lookups!$B$4,1,IF(D72=Lookups!$B$5,2,IF(D72=Lookups!$B$6,3,IF(D72=Lookups!$B$7,4,IF(D72=Lookups!$B$8,5,0)))))</f>
        <v>0</v>
      </c>
      <c r="Q72" s="13">
        <f>IF(E72=Lookups!$C$4,1,IF(E72=Lookups!$C$5,2,IF(E72=Lookups!$C$6,3,IF(E72=Lookups!$C$7,4,IF(E72=Lookups!$C$8,5,0)))))</f>
        <v>0</v>
      </c>
      <c r="U72" s="13">
        <f>IF(I72=Lookups!$B$4,1,IF(I72=Lookups!$B$5,2,IF(I72=Lookups!$B$6,3,IF(I72=Lookups!$B$7,4,IF(I72=Lookups!$B$8,5,0)))))</f>
        <v>0</v>
      </c>
      <c r="V72" s="13">
        <f>IF(J72=Lookups!$C$4,1,IF(J72=Lookups!$C$5,2,IF(J72=Lookups!$C$6,3,IF(J72=Lookups!$C$7,4,IF(J72=Lookups!$C$8,5,0)))))</f>
        <v>0</v>
      </c>
    </row>
    <row r="73" spans="2:22" ht="58" x14ac:dyDescent="0.35">
      <c r="B73" s="16" t="s">
        <v>225</v>
      </c>
      <c r="C73" s="8" t="s">
        <v>224</v>
      </c>
      <c r="D73" s="4"/>
      <c r="E73" s="4"/>
      <c r="F73" s="4" t="str">
        <f>IF(P73*Q73=0,$S$14,VLOOKUP(Q73,Lookups!$D$4:$J$8,'Implementation Phase'!P73+2))</f>
        <v>Select L  &amp; C</v>
      </c>
      <c r="G73" s="5"/>
      <c r="H73" s="5"/>
      <c r="I73" s="4"/>
      <c r="J73" s="4"/>
      <c r="K73" s="4" t="str">
        <f>IF(U73*V73=0,$S$14,VLOOKUP(V73,Lookups!$D$4:$J$8,'Implementation Phase'!U73+2))</f>
        <v>Select L  &amp; C</v>
      </c>
      <c r="L73" s="4"/>
      <c r="M73" s="5"/>
      <c r="N73" s="5"/>
      <c r="P73" s="13">
        <f>IF(D73=Lookups!$B$4,1,IF(D73=Lookups!$B$5,2,IF(D73=Lookups!$B$6,3,IF(D73=Lookups!$B$7,4,IF(D73=Lookups!$B$8,5,0)))))</f>
        <v>0</v>
      </c>
      <c r="Q73" s="13">
        <f>IF(E73=Lookups!$C$4,1,IF(E73=Lookups!$C$5,2,IF(E73=Lookups!$C$6,3,IF(E73=Lookups!$C$7,4,IF(E73=Lookups!$C$8,5,0)))))</f>
        <v>0</v>
      </c>
      <c r="U73" s="13">
        <f>IF(I73=Lookups!$B$4,1,IF(I73=Lookups!$B$5,2,IF(I73=Lookups!$B$6,3,IF(I73=Lookups!$B$7,4,IF(I73=Lookups!$B$8,5,0)))))</f>
        <v>0</v>
      </c>
      <c r="V73" s="13">
        <f>IF(J73=Lookups!$C$4,1,IF(J73=Lookups!$C$5,2,IF(J73=Lookups!$C$6,3,IF(J73=Lookups!$C$7,4,IF(J73=Lookups!$C$8,5,0)))))</f>
        <v>0</v>
      </c>
    </row>
    <row r="74" spans="2:22" ht="72.5" x14ac:dyDescent="0.35">
      <c r="B74" s="8" t="s">
        <v>130</v>
      </c>
      <c r="C74" s="8" t="s">
        <v>226</v>
      </c>
      <c r="D74" s="4"/>
      <c r="E74" s="4"/>
      <c r="F74" s="4" t="str">
        <f>IF(P74*Q74=0,$S$14,VLOOKUP(Q74,Lookups!$D$4:$J$8,'Implementation Phase'!P74+2))</f>
        <v>Select L  &amp; C</v>
      </c>
      <c r="G74" s="5"/>
      <c r="H74" s="5"/>
      <c r="I74" s="4"/>
      <c r="J74" s="4"/>
      <c r="K74" s="4"/>
      <c r="L74" s="4"/>
      <c r="M74" s="5"/>
      <c r="N74" s="5"/>
    </row>
    <row r="75" spans="2:22" x14ac:dyDescent="0.35">
      <c r="B75" s="3" t="s">
        <v>228</v>
      </c>
      <c r="C75" s="8" t="s">
        <v>227</v>
      </c>
      <c r="D75" s="4"/>
      <c r="E75" s="4"/>
      <c r="F75" s="4" t="str">
        <f>IF(P75*Q75=0,$S$14,VLOOKUP(Q75,Lookups!$D$4:$J$8,'Implementation Phase'!P75+2))</f>
        <v>Select L  &amp; C</v>
      </c>
      <c r="G75" s="5"/>
      <c r="H75" s="5"/>
      <c r="I75" s="4"/>
      <c r="J75" s="4"/>
      <c r="K75" s="4"/>
      <c r="L75" s="4"/>
      <c r="M75" s="5"/>
      <c r="N75" s="5"/>
    </row>
    <row r="76" spans="2:22" ht="43.5" x14ac:dyDescent="0.35">
      <c r="B76" s="3" t="s">
        <v>32</v>
      </c>
      <c r="C76" s="12" t="s">
        <v>128</v>
      </c>
      <c r="D76" s="4"/>
      <c r="E76" s="4"/>
      <c r="F76" s="4" t="str">
        <f>IF(P76*Q76=0,$S$14,VLOOKUP(Q76,Lookups!$D$4:$J$8,'Implementation Phase'!P76+2))</f>
        <v>Select L  &amp; C</v>
      </c>
      <c r="G76" s="5"/>
      <c r="H76" s="5"/>
      <c r="I76" s="4"/>
      <c r="J76" s="4"/>
      <c r="K76" s="4"/>
      <c r="L76" s="4"/>
      <c r="M76" s="5"/>
      <c r="N76" s="5"/>
    </row>
    <row r="77" spans="2:22" x14ac:dyDescent="0.35">
      <c r="B77" s="29" t="s">
        <v>33</v>
      </c>
      <c r="C77" s="8" t="s">
        <v>229</v>
      </c>
      <c r="D77" s="4"/>
      <c r="E77" s="4"/>
      <c r="F77" s="4" t="str">
        <f>IF(P77*Q77=0,$S$14,VLOOKUP(Q77,Lookups!$D$4:$J$8,'Implementation Phase'!P77+2))</f>
        <v>Select L  &amp; C</v>
      </c>
      <c r="G77" s="5"/>
      <c r="H77" s="5"/>
      <c r="I77" s="4"/>
      <c r="J77" s="4"/>
      <c r="K77" s="4"/>
      <c r="L77" s="4"/>
      <c r="M77" s="5"/>
      <c r="N77" s="5"/>
    </row>
    <row r="78" spans="2:22" x14ac:dyDescent="0.35">
      <c r="B78" s="30"/>
      <c r="C78" s="8" t="s">
        <v>35</v>
      </c>
      <c r="D78" s="4"/>
      <c r="E78" s="4"/>
      <c r="F78" s="4" t="str">
        <f>IF(P78*Q78=0,$S$14,VLOOKUP(Q78,Lookups!$D$4:$J$8,'Implementation Phase'!P78+2))</f>
        <v>Select L  &amp; C</v>
      </c>
      <c r="G78" s="5"/>
      <c r="H78" s="5"/>
      <c r="I78" s="4"/>
      <c r="J78" s="4"/>
      <c r="K78" s="4"/>
      <c r="L78" s="4"/>
      <c r="M78" s="5"/>
      <c r="N78" s="5"/>
    </row>
    <row r="79" spans="2:22" ht="43.5" x14ac:dyDescent="0.35">
      <c r="B79" s="16" t="s">
        <v>136</v>
      </c>
      <c r="C79" s="8" t="s">
        <v>137</v>
      </c>
      <c r="D79" s="4"/>
      <c r="E79" s="4"/>
      <c r="F79" s="4" t="str">
        <f>IF(P79*Q79=0,$S$14,VLOOKUP(Q79,Lookups!$D$4:$J$8,'Implementation Phase'!P79+2))</f>
        <v>Select L  &amp; C</v>
      </c>
      <c r="G79" s="5"/>
      <c r="H79" s="5"/>
      <c r="I79" s="4"/>
      <c r="J79" s="4"/>
      <c r="K79" s="4"/>
      <c r="L79" s="4"/>
      <c r="M79" s="5"/>
      <c r="N79" s="5"/>
    </row>
    <row r="80" spans="2:22" ht="87" x14ac:dyDescent="0.35">
      <c r="B80" s="21" t="s">
        <v>230</v>
      </c>
      <c r="C80" s="8" t="s">
        <v>256</v>
      </c>
      <c r="D80" s="4"/>
      <c r="E80" s="4"/>
      <c r="F80" s="4" t="str">
        <f>IF(P80*Q80=0,$S$14,VLOOKUP(Q80,Lookups!$D$4:$J$8,'Implementation Phase'!P80+2))</f>
        <v>Select L  &amp; C</v>
      </c>
      <c r="G80" s="5"/>
      <c r="H80" s="5"/>
      <c r="I80" s="4"/>
      <c r="J80" s="4"/>
      <c r="K80" s="4" t="str">
        <f>IF(U80*V80=0,$S$14,VLOOKUP(V80,Lookups!$D$4:$J$8,'Implementation Phase'!U80+2))</f>
        <v>Select L  &amp; C</v>
      </c>
      <c r="L80" s="11"/>
      <c r="M80" s="10"/>
      <c r="N80" s="10"/>
      <c r="P80" s="13">
        <f>IF(D80=Lookups!$B$4,1,IF(D80=Lookups!$B$5,2,IF(D80=Lookups!$B$6,3,IF(D80=Lookups!$B$7,4,IF(D80=Lookups!$B$8,5,0)))))</f>
        <v>0</v>
      </c>
      <c r="Q80" s="13">
        <f>IF(E80=Lookups!$C$4,1,IF(E80=Lookups!$C$5,2,IF(E80=Lookups!$C$6,3,IF(E80=Lookups!$C$7,4,IF(E80=Lookups!$C$8,5,0)))))</f>
        <v>0</v>
      </c>
      <c r="S80" t="s">
        <v>65</v>
      </c>
      <c r="U80" s="13">
        <f>IF(I80=Lookups!$B$4,1,IF(I80=Lookups!$B$5,2,IF(I80=Lookups!$B$6,3,IF(I80=Lookups!$B$7,4,IF(I80=Lookups!$B$8,5,0)))))</f>
        <v>0</v>
      </c>
      <c r="V80" s="13">
        <f>IF(J80=Lookups!$C$4,1,IF(J80=Lookups!$C$5,2,IF(J80=Lookups!$C$6,3,IF(J80=Lookups!$C$7,4,IF(J80=Lookups!$C$8,5,0)))))</f>
        <v>0</v>
      </c>
    </row>
    <row r="81" spans="2:22" ht="43.5" x14ac:dyDescent="0.35">
      <c r="B81" s="21" t="s">
        <v>255</v>
      </c>
      <c r="C81" s="8" t="s">
        <v>257</v>
      </c>
      <c r="D81" s="4"/>
      <c r="E81" s="4"/>
      <c r="F81" s="4" t="str">
        <f>IF(P81*Q81=0,$S$14,VLOOKUP(Q81,Lookups!$D$4:$J$8,'Implementation Phase'!P81+2))</f>
        <v>Select L  &amp; C</v>
      </c>
      <c r="G81" s="5"/>
      <c r="H81" s="5"/>
      <c r="I81" s="4"/>
      <c r="J81" s="4"/>
      <c r="K81" s="4" t="str">
        <f>IF(U81*V81=0,$S$14,VLOOKUP(V81,Lookups!$D$4:$J$8,'Implementation Phase'!U81+2))</f>
        <v>Select L  &amp; C</v>
      </c>
      <c r="L81" s="11"/>
      <c r="M81" s="10"/>
      <c r="N81" s="10"/>
      <c r="P81" s="13">
        <f>IF(D81=Lookups!$B$4,1,IF(D81=Lookups!$B$5,2,IF(D81=Lookups!$B$6,3,IF(D81=Lookups!$B$7,4,IF(D81=Lookups!$B$8,5,0)))))</f>
        <v>0</v>
      </c>
      <c r="Q81" s="13">
        <f>IF(E81=Lookups!$C$4,1,IF(E81=Lookups!$C$5,2,IF(E81=Lookups!$C$6,3,IF(E81=Lookups!$C$7,4,IF(E81=Lookups!$C$8,5,0)))))</f>
        <v>0</v>
      </c>
      <c r="S81" t="s">
        <v>65</v>
      </c>
      <c r="U81" s="13">
        <f>IF(I81=Lookups!$B$4,1,IF(I81=Lookups!$B$5,2,IF(I81=Lookups!$B$6,3,IF(I81=Lookups!$B$7,4,IF(I81=Lookups!$B$8,5,0)))))</f>
        <v>0</v>
      </c>
      <c r="V81" s="13">
        <f>IF(J81=Lookups!$C$4,1,IF(J81=Lookups!$C$5,2,IF(J81=Lookups!$C$6,3,IF(J81=Lookups!$C$7,4,IF(J81=Lookups!$C$8,5,0)))))</f>
        <v>0</v>
      </c>
    </row>
    <row r="82" spans="2:22" x14ac:dyDescent="0.35">
      <c r="B82" s="27" t="s">
        <v>144</v>
      </c>
      <c r="C82" s="35"/>
      <c r="D82" s="35"/>
      <c r="E82" s="35"/>
      <c r="F82" s="35"/>
      <c r="G82" s="35"/>
      <c r="H82" s="35"/>
      <c r="I82" s="35"/>
      <c r="J82" s="35"/>
      <c r="K82" s="35"/>
      <c r="L82" s="35"/>
      <c r="M82" s="35"/>
      <c r="N82" s="28"/>
      <c r="P82" s="13">
        <f>IF(D82=Lookups!$B$4,1,IF(D82=Lookups!$B$5,2,IF(D82=Lookups!$B$6,3,IF(D82=Lookups!$B$7,4,IF(D82=Lookups!$B$8,5,0)))))</f>
        <v>0</v>
      </c>
      <c r="Q82" s="13">
        <f>IF(E82=Lookups!$C$4,1,IF(E82=Lookups!$C$5,2,IF(E82=Lookups!$C$6,3,IF(E82=Lookups!$C$7,4,IF(E82=Lookups!$C$8,5,0)))))</f>
        <v>0</v>
      </c>
      <c r="U82" s="13">
        <f>IF(I82=Lookups!$B$4,1,IF(I82=Lookups!$B$5,2,IF(I82=Lookups!$B$6,3,IF(I82=Lookups!$B$7,4,IF(I82=Lookups!$B$8,5,0)))))</f>
        <v>0</v>
      </c>
      <c r="V82" s="13">
        <f>IF(J82=Lookups!$C$4,1,IF(J82=Lookups!$C$5,2,IF(J82=Lookups!$C$6,3,IF(J82=Lookups!$C$7,4,IF(J82=Lookups!$C$8,5,0)))))</f>
        <v>0</v>
      </c>
    </row>
    <row r="83" spans="2:22" ht="43.5" x14ac:dyDescent="0.35">
      <c r="B83" s="8" t="s">
        <v>231</v>
      </c>
      <c r="C83" s="8" t="s">
        <v>232</v>
      </c>
      <c r="D83" s="4"/>
      <c r="E83" s="4"/>
      <c r="F83" s="4" t="str">
        <f>IF(P83*Q83=0,$S$14,VLOOKUP(Q83,Lookups!$D$4:$J$8,'Implementation Phase'!P83+2))</f>
        <v>Select L  &amp; C</v>
      </c>
      <c r="G83" s="5"/>
      <c r="H83" s="5"/>
      <c r="I83" s="4"/>
      <c r="J83" s="4"/>
      <c r="K83" s="4"/>
      <c r="L83" s="4"/>
      <c r="M83" s="5"/>
      <c r="N83" s="5"/>
    </row>
    <row r="84" spans="2:22" x14ac:dyDescent="0.35">
      <c r="B84" s="27" t="s">
        <v>171</v>
      </c>
      <c r="C84" s="35"/>
      <c r="D84" s="35"/>
      <c r="E84" s="35"/>
      <c r="F84" s="35"/>
      <c r="G84" s="35"/>
      <c r="H84" s="35"/>
      <c r="I84" s="35"/>
      <c r="J84" s="35"/>
      <c r="K84" s="35"/>
      <c r="L84" s="35"/>
      <c r="M84" s="35"/>
      <c r="N84" s="28"/>
      <c r="P84" s="13">
        <f>IF(D84=Lookups!$B$4,1,IF(D84=Lookups!$B$5,2,IF(D84=Lookups!$B$6,3,IF(D84=Lookups!$B$7,4,IF(D84=Lookups!$B$8,5,0)))))</f>
        <v>0</v>
      </c>
      <c r="Q84" s="13">
        <f>IF(E84=Lookups!$C$4,1,IF(E84=Lookups!$C$5,2,IF(E84=Lookups!$C$6,3,IF(E84=Lookups!$C$7,4,IF(E84=Lookups!$C$8,5,0)))))</f>
        <v>0</v>
      </c>
      <c r="U84" s="13">
        <f>IF(I84=Lookups!$B$4,1,IF(I84=Lookups!$B$5,2,IF(I84=Lookups!$B$6,3,IF(I84=Lookups!$B$7,4,IF(I84=Lookups!$B$8,5,0)))))</f>
        <v>0</v>
      </c>
      <c r="V84" s="13">
        <f>IF(J84=Lookups!$C$4,1,IF(J84=Lookups!$C$5,2,IF(J84=Lookups!$C$6,3,IF(J84=Lookups!$C$7,4,IF(J84=Lookups!$C$8,5,0)))))</f>
        <v>0</v>
      </c>
    </row>
    <row r="85" spans="2:22" ht="43.5" x14ac:dyDescent="0.35">
      <c r="B85" s="8" t="s">
        <v>182</v>
      </c>
      <c r="C85" s="8" t="s">
        <v>181</v>
      </c>
      <c r="D85" s="4"/>
      <c r="E85" s="4"/>
      <c r="F85" s="4" t="str">
        <f>IF(P85*Q85=0,$S$14,VLOOKUP(Q85,Lookups!$D$4:$J$8,'Implementation Phase'!P85+2))</f>
        <v>Select L  &amp; C</v>
      </c>
      <c r="G85" s="5"/>
      <c r="H85" s="5"/>
      <c r="I85" s="4"/>
      <c r="J85" s="4"/>
      <c r="K85" s="4" t="str">
        <f>IF(U85*V85=0,$S$14,VLOOKUP(V85,Lookups!$D$4:$J$8,'Implementation Phase'!U85+2))</f>
        <v>Select L  &amp; C</v>
      </c>
      <c r="L85" s="4"/>
      <c r="M85" s="5"/>
      <c r="N85" s="5"/>
      <c r="P85" s="13">
        <f>IF(D85=Lookups!$B$4,1,IF(D85=Lookups!$B$5,2,IF(D85=Lookups!$B$6,3,IF(D85=Lookups!$B$7,4,IF(D85=Lookups!$B$8,5,0)))))</f>
        <v>0</v>
      </c>
      <c r="Q85" s="13">
        <f>IF(E85=Lookups!$C$4,1,IF(E85=Lookups!$C$5,2,IF(E85=Lookups!$C$6,3,IF(E85=Lookups!$C$7,4,IF(E85=Lookups!$C$8,5,0)))))</f>
        <v>0</v>
      </c>
      <c r="U85" s="13">
        <f>IF(I85=Lookups!$B$4,1,IF(I85=Lookups!$B$5,2,IF(I85=Lookups!$B$6,3,IF(I85=Lookups!$B$7,4,IF(I85=Lookups!$B$8,5,0)))))</f>
        <v>0</v>
      </c>
      <c r="V85" s="13">
        <f>IF(J85=Lookups!$C$4,1,IF(J85=Lookups!$C$5,2,IF(J85=Lookups!$C$6,3,IF(J85=Lookups!$C$7,4,IF(J85=Lookups!$C$8,5,0)))))</f>
        <v>0</v>
      </c>
    </row>
    <row r="86" spans="2:22" ht="58" x14ac:dyDescent="0.35">
      <c r="B86" s="8" t="s">
        <v>183</v>
      </c>
      <c r="C86" s="8" t="s">
        <v>181</v>
      </c>
      <c r="D86" s="4"/>
      <c r="E86" s="4"/>
      <c r="F86" s="4" t="str">
        <f>IF(P86*Q86=0,$S$14,VLOOKUP(Q86,Lookups!$D$4:$J$8,'Implementation Phase'!P86+2))</f>
        <v>Select L  &amp; C</v>
      </c>
      <c r="G86" s="5"/>
      <c r="H86" s="5"/>
      <c r="I86" s="4"/>
      <c r="J86" s="4"/>
      <c r="K86" s="4" t="str">
        <f>IF(U86*V86=0,$S$14,VLOOKUP(V86,Lookups!$D$4:$J$8,'Implementation Phase'!U86+2))</f>
        <v>Select L  &amp; C</v>
      </c>
      <c r="L86" s="4"/>
      <c r="M86" s="5"/>
      <c r="N86" s="5"/>
      <c r="P86" s="13">
        <f>IF(D86=Lookups!$B$4,1,IF(D86=Lookups!$B$5,2,IF(D86=Lookups!$B$6,3,IF(D86=Lookups!$B$7,4,IF(D86=Lookups!$B$8,5,0)))))</f>
        <v>0</v>
      </c>
      <c r="Q86" s="13">
        <f>IF(E86=Lookups!$C$4,1,IF(E86=Lookups!$C$5,2,IF(E86=Lookups!$C$6,3,IF(E86=Lookups!$C$7,4,IF(E86=Lookups!$C$8,5,0)))))</f>
        <v>0</v>
      </c>
      <c r="U86" s="13">
        <f>IF(I86=Lookups!$B$4,1,IF(I86=Lookups!$B$5,2,IF(I86=Lookups!$B$6,3,IF(I86=Lookups!$B$7,4,IF(I86=Lookups!$B$8,5,0)))))</f>
        <v>0</v>
      </c>
      <c r="V86" s="13">
        <f>IF(J86=Lookups!$C$4,1,IF(J86=Lookups!$C$5,2,IF(J86=Lookups!$C$6,3,IF(J86=Lookups!$C$7,4,IF(J86=Lookups!$C$8,5,0)))))</f>
        <v>0</v>
      </c>
    </row>
    <row r="87" spans="2:22" ht="101.5" x14ac:dyDescent="0.35">
      <c r="B87" s="8" t="s">
        <v>184</v>
      </c>
      <c r="C87" s="8" t="s">
        <v>181</v>
      </c>
      <c r="D87" s="4"/>
      <c r="E87" s="4"/>
      <c r="F87" s="4" t="str">
        <f>IF(P87*Q87=0,$S$14,VLOOKUP(Q87,Lookups!$D$4:$J$8,'Implementation Phase'!P87+2))</f>
        <v>Select L  &amp; C</v>
      </c>
      <c r="G87" s="5"/>
      <c r="H87" s="5"/>
      <c r="I87" s="4"/>
      <c r="J87" s="4"/>
      <c r="K87" s="4" t="str">
        <f>IF(U87*V87=0,$S$14,VLOOKUP(V87,Lookups!$D$4:$J$8,'Implementation Phase'!U87+2))</f>
        <v>Select L  &amp; C</v>
      </c>
      <c r="L87" s="4"/>
      <c r="M87" s="5"/>
      <c r="N87" s="5"/>
      <c r="P87" s="13">
        <f>IF(D87=Lookups!$B$4,1,IF(D87=Lookups!$B$5,2,IF(D87=Lookups!$B$6,3,IF(D87=Lookups!$B$7,4,IF(D87=Lookups!$B$8,5,0)))))</f>
        <v>0</v>
      </c>
      <c r="Q87" s="13">
        <f>IF(E87=Lookups!$C$4,1,IF(E87=Lookups!$C$5,2,IF(E87=Lookups!$C$6,3,IF(E87=Lookups!$C$7,4,IF(E87=Lookups!$C$8,5,0)))))</f>
        <v>0</v>
      </c>
      <c r="U87" s="13">
        <f>IF(I87=Lookups!$B$4,1,IF(I87=Lookups!$B$5,2,IF(I87=Lookups!$B$6,3,IF(I87=Lookups!$B$7,4,IF(I87=Lookups!$B$8,5,0)))))</f>
        <v>0</v>
      </c>
      <c r="V87" s="13">
        <f>IF(J87=Lookups!$C$4,1,IF(J87=Lookups!$C$5,2,IF(J87=Lookups!$C$6,3,IF(J87=Lookups!$C$7,4,IF(J87=Lookups!$C$8,5,0)))))</f>
        <v>0</v>
      </c>
    </row>
    <row r="88" spans="2:22" x14ac:dyDescent="0.35">
      <c r="B88" s="27" t="s">
        <v>38</v>
      </c>
      <c r="C88" s="35"/>
      <c r="D88" s="35"/>
      <c r="E88" s="35"/>
      <c r="F88" s="35"/>
      <c r="G88" s="35"/>
      <c r="H88" s="35"/>
      <c r="I88" s="35"/>
      <c r="J88" s="35"/>
      <c r="K88" s="35"/>
      <c r="L88" s="35"/>
      <c r="M88" s="35"/>
      <c r="N88" s="28"/>
      <c r="P88" s="13">
        <f>IF(D88=Lookups!$B$4,1,IF(D88=Lookups!$B$5,2,IF(D88=Lookups!$B$6,3,IF(D88=Lookups!$B$7,4,IF(D88=Lookups!$B$8,5,0)))))</f>
        <v>0</v>
      </c>
      <c r="Q88" s="13">
        <f>IF(E88=Lookups!$C$4,1,IF(E88=Lookups!$C$5,2,IF(E88=Lookups!$C$6,3,IF(E88=Lookups!$C$7,4,IF(E88=Lookups!$C$8,5,0)))))</f>
        <v>0</v>
      </c>
      <c r="U88" s="13">
        <f>IF(I88=Lookups!$B$4,1,IF(I88=Lookups!$B$5,2,IF(I88=Lookups!$B$6,3,IF(I88=Lookups!$B$7,4,IF(I88=Lookups!$B$8,5,0)))))</f>
        <v>0</v>
      </c>
      <c r="V88" s="13">
        <f>IF(J88=Lookups!$C$4,1,IF(J88=Lookups!$C$5,2,IF(J88=Lookups!$C$6,3,IF(J88=Lookups!$C$7,4,IF(J88=Lookups!$C$8,5,0)))))</f>
        <v>0</v>
      </c>
    </row>
    <row r="89" spans="2:22" ht="28.75" customHeight="1" x14ac:dyDescent="0.35">
      <c r="B89" s="29" t="s">
        <v>233</v>
      </c>
      <c r="C89" s="8" t="s">
        <v>23</v>
      </c>
      <c r="D89" s="4"/>
      <c r="E89" s="4"/>
      <c r="F89" s="4" t="str">
        <f>IF(P89*Q89=0,$S$14,VLOOKUP(Q89,Lookups!$D$4:$J$8,'Implementation Phase'!P89+2))</f>
        <v>Select L  &amp; C</v>
      </c>
      <c r="G89" s="5"/>
      <c r="H89" s="5"/>
      <c r="I89" s="4"/>
      <c r="J89" s="4"/>
      <c r="K89" s="4" t="str">
        <f>IF(U89*V89=0,$S$14,VLOOKUP(V89,Lookups!$D$4:$J$8,'Implementation Phase'!U89+2))</f>
        <v>Select L  &amp; C</v>
      </c>
      <c r="L89" s="4"/>
      <c r="M89" s="5"/>
      <c r="N89" s="5"/>
      <c r="P89" s="13">
        <f>IF(D89=Lookups!$B$4,1,IF(D89=Lookups!$B$5,2,IF(D89=Lookups!$B$6,3,IF(D89=Lookups!$B$7,4,IF(D89=Lookups!$B$8,5,0)))))</f>
        <v>0</v>
      </c>
      <c r="Q89" s="13">
        <f>IF(E89=Lookups!$C$4,1,IF(E89=Lookups!$C$5,2,IF(E89=Lookups!$C$6,3,IF(E89=Lookups!$C$7,4,IF(E89=Lookups!$C$8,5,0)))))</f>
        <v>0</v>
      </c>
      <c r="U89" s="13">
        <f>IF(I89=Lookups!$B$4,1,IF(I89=Lookups!$B$5,2,IF(I89=Lookups!$B$6,3,IF(I89=Lookups!$B$7,4,IF(I89=Lookups!$B$8,5,0)))))</f>
        <v>0</v>
      </c>
      <c r="V89" s="13">
        <f>IF(J89=Lookups!$C$4,1,IF(J89=Lookups!$C$5,2,IF(J89=Lookups!$C$6,3,IF(J89=Lookups!$C$7,4,IF(J89=Lookups!$C$8,5,0)))))</f>
        <v>0</v>
      </c>
    </row>
    <row r="90" spans="2:22" x14ac:dyDescent="0.35">
      <c r="B90" s="30"/>
      <c r="C90" s="8" t="s">
        <v>235</v>
      </c>
      <c r="D90" s="4"/>
      <c r="E90" s="4"/>
      <c r="F90" s="4"/>
      <c r="G90" s="5"/>
      <c r="H90" s="5"/>
      <c r="I90" s="4"/>
      <c r="J90" s="4"/>
      <c r="K90" s="4"/>
      <c r="L90" s="4"/>
      <c r="M90" s="5"/>
      <c r="N90" s="5"/>
    </row>
    <row r="91" spans="2:22" ht="29" x14ac:dyDescent="0.35">
      <c r="B91" s="8" t="s">
        <v>234</v>
      </c>
      <c r="C91" s="8" t="s">
        <v>19</v>
      </c>
      <c r="D91" s="4"/>
      <c r="E91" s="4"/>
      <c r="F91" s="4" t="str">
        <f>IF(P91*Q91=0,$S$14,VLOOKUP(Q91,Lookups!$D$4:$J$8,'Implementation Phase'!P91+2))</f>
        <v>Select L  &amp; C</v>
      </c>
      <c r="G91" s="5"/>
      <c r="H91" s="5"/>
      <c r="I91" s="4"/>
      <c r="J91" s="4"/>
      <c r="K91" s="4" t="str">
        <f>IF(U91*V91=0,$S$14,VLOOKUP(V91,Lookups!$D$4:$J$8,'Implementation Phase'!U91+2))</f>
        <v>Select L  &amp; C</v>
      </c>
      <c r="L91" s="4"/>
      <c r="M91" s="5"/>
      <c r="N91" s="5"/>
    </row>
    <row r="92" spans="2:22" ht="29" x14ac:dyDescent="0.35">
      <c r="B92" s="8" t="s">
        <v>15</v>
      </c>
      <c r="C92" s="8" t="s">
        <v>236</v>
      </c>
      <c r="D92" s="4"/>
      <c r="E92" s="4"/>
      <c r="F92" s="4" t="str">
        <f>IF(P92*Q92=0,$S$14,VLOOKUP(Q92,Lookups!$D$4:$J$8,'Implementation Phase'!P92+2))</f>
        <v>Select L  &amp; C</v>
      </c>
      <c r="G92" s="5"/>
      <c r="H92" s="5"/>
      <c r="I92" s="4"/>
      <c r="J92" s="4"/>
      <c r="K92" s="4" t="str">
        <f>IF(U92*V92=0,$S$14,VLOOKUP(V92,Lookups!$D$4:$J$8,'Implementation Phase'!U92+2))</f>
        <v>Select L  &amp; C</v>
      </c>
      <c r="L92" s="4"/>
      <c r="M92" s="5"/>
      <c r="N92" s="5"/>
    </row>
  </sheetData>
  <mergeCells count="26">
    <mergeCell ref="B84:N84"/>
    <mergeCell ref="B88:N88"/>
    <mergeCell ref="B89:B90"/>
    <mergeCell ref="B39:B41"/>
    <mergeCell ref="B43:B46"/>
    <mergeCell ref="B82:N82"/>
    <mergeCell ref="B67:N67"/>
    <mergeCell ref="B72:N72"/>
    <mergeCell ref="B77:B78"/>
    <mergeCell ref="B60:N60"/>
    <mergeCell ref="B61:B63"/>
    <mergeCell ref="B31:N31"/>
    <mergeCell ref="B55:N55"/>
    <mergeCell ref="B58:N58"/>
    <mergeCell ref="B29:N29"/>
    <mergeCell ref="B22:N22"/>
    <mergeCell ref="B23:B25"/>
    <mergeCell ref="M7:N7"/>
    <mergeCell ref="B9:N9"/>
    <mergeCell ref="B10:B14"/>
    <mergeCell ref="D2:F2"/>
    <mergeCell ref="B7:C7"/>
    <mergeCell ref="D7:F7"/>
    <mergeCell ref="G7:H7"/>
    <mergeCell ref="I7:K7"/>
    <mergeCell ref="L7:L8"/>
  </mergeCells>
  <conditionalFormatting sqref="F10:F21 K10:K21 F23:F28 F30 K30 K32:K46 F56:F57 K56:K57 F59 K59 F61:F66 K61:K66 F68 K68:K69 K83 F85:F87 K85:K87">
    <cfRule type="cellIs" dxfId="101" priority="228" operator="equal">
      <formula>$S$14</formula>
    </cfRule>
    <cfRule type="cellIs" dxfId="100" priority="227" operator="equal">
      <formula>$S$9</formula>
    </cfRule>
    <cfRule type="cellIs" dxfId="99" priority="224" operator="equal">
      <formula>$S$12</formula>
    </cfRule>
    <cfRule type="cellIs" dxfId="98" priority="226" operator="equal">
      <formula>$S$10</formula>
    </cfRule>
    <cfRule type="cellIs" dxfId="97" priority="225" operator="equal">
      <formula>$S$11</formula>
    </cfRule>
  </conditionalFormatting>
  <conditionalFormatting sqref="F32:F54 K50:K51">
    <cfRule type="cellIs" dxfId="96" priority="12" operator="equal">
      <formula>$S$14</formula>
    </cfRule>
    <cfRule type="cellIs" dxfId="95" priority="8" operator="equal">
      <formula>$S$12</formula>
    </cfRule>
    <cfRule type="cellIs" dxfId="94" priority="9" operator="equal">
      <formula>$S$11</formula>
    </cfRule>
    <cfRule type="cellIs" dxfId="93" priority="10" operator="equal">
      <formula>$S$10</formula>
    </cfRule>
    <cfRule type="cellIs" dxfId="92" priority="11" operator="equal">
      <formula>$S$9</formula>
    </cfRule>
  </conditionalFormatting>
  <conditionalFormatting sqref="F68 K68:K69 K32:K46 F10:F21 K10:K21 F23:F28 F30 K30 F56:F57 K56:K57 F59 K59 F61:F66 K61:K66 K83 F85:F87 K85:K87">
    <cfRule type="cellIs" dxfId="91" priority="223" operator="equal">
      <formula>$S$13</formula>
    </cfRule>
  </conditionalFormatting>
  <conditionalFormatting sqref="F68:F71">
    <cfRule type="cellIs" dxfId="90" priority="174" operator="equal">
      <formula>$S$14</formula>
    </cfRule>
    <cfRule type="cellIs" dxfId="89" priority="173" operator="equal">
      <formula>$S$9</formula>
    </cfRule>
    <cfRule type="cellIs" dxfId="88" priority="172" operator="equal">
      <formula>$S$10</formula>
    </cfRule>
    <cfRule type="cellIs" dxfId="87" priority="171" operator="equal">
      <formula>$S$11</formula>
    </cfRule>
    <cfRule type="cellIs" dxfId="86" priority="170" operator="equal">
      <formula>$S$12</formula>
    </cfRule>
    <cfRule type="cellIs" dxfId="85" priority="169" operator="equal">
      <formula>$S$13</formula>
    </cfRule>
  </conditionalFormatting>
  <conditionalFormatting sqref="F69">
    <cfRule type="cellIs" dxfId="84" priority="164" operator="equal">
      <formula>$S$12</formula>
    </cfRule>
    <cfRule type="cellIs" dxfId="83" priority="168" operator="equal">
      <formula>$S$14</formula>
    </cfRule>
    <cfRule type="cellIs" dxfId="82" priority="167" operator="equal">
      <formula>$S$9</formula>
    </cfRule>
    <cfRule type="cellIs" dxfId="81" priority="166" operator="equal">
      <formula>$S$10</formula>
    </cfRule>
    <cfRule type="cellIs" dxfId="80" priority="165" operator="equal">
      <formula>$S$11</formula>
    </cfRule>
    <cfRule type="cellIs" dxfId="79" priority="163" operator="equal">
      <formula>$S$13</formula>
    </cfRule>
  </conditionalFormatting>
  <conditionalFormatting sqref="F73:F81">
    <cfRule type="cellIs" dxfId="78" priority="35" operator="equal">
      <formula>$S$9</formula>
    </cfRule>
    <cfRule type="cellIs" dxfId="77" priority="32" operator="equal">
      <formula>$S$12</formula>
    </cfRule>
    <cfRule type="cellIs" dxfId="76" priority="36" operator="equal">
      <formula>$S$14</formula>
    </cfRule>
    <cfRule type="cellIs" dxfId="75" priority="31" operator="equal">
      <formula>$S$13</formula>
    </cfRule>
    <cfRule type="cellIs" dxfId="74" priority="33" operator="equal">
      <formula>$S$11</formula>
    </cfRule>
    <cfRule type="cellIs" dxfId="73" priority="34" operator="equal">
      <formula>$S$10</formula>
    </cfRule>
  </conditionalFormatting>
  <conditionalFormatting sqref="F83">
    <cfRule type="cellIs" dxfId="72" priority="102" operator="equal">
      <formula>$S$14</formula>
    </cfRule>
    <cfRule type="cellIs" dxfId="71" priority="101" operator="equal">
      <formula>$S$9</formula>
    </cfRule>
    <cfRule type="cellIs" dxfId="70" priority="100" operator="equal">
      <formula>$S$10</formula>
    </cfRule>
    <cfRule type="cellIs" dxfId="69" priority="99" operator="equal">
      <formula>$S$11</formula>
    </cfRule>
    <cfRule type="cellIs" dxfId="68" priority="98" operator="equal">
      <formula>$S$12</formula>
    </cfRule>
    <cfRule type="cellIs" dxfId="67" priority="97" operator="equal">
      <formula>$S$13</formula>
    </cfRule>
  </conditionalFormatting>
  <conditionalFormatting sqref="F89:F92 K89:K92">
    <cfRule type="cellIs" dxfId="66" priority="85" operator="equal">
      <formula>$S$13</formula>
    </cfRule>
    <cfRule type="cellIs" dxfId="65" priority="90" operator="equal">
      <formula>$S$14</formula>
    </cfRule>
    <cfRule type="cellIs" dxfId="64" priority="89" operator="equal">
      <formula>$S$9</formula>
    </cfRule>
    <cfRule type="cellIs" dxfId="63" priority="88" operator="equal">
      <formula>$S$10</formula>
    </cfRule>
    <cfRule type="cellIs" dxfId="62" priority="87" operator="equal">
      <formula>$S$11</formula>
    </cfRule>
    <cfRule type="cellIs" dxfId="61" priority="86" operator="equal">
      <formula>$S$12</formula>
    </cfRule>
  </conditionalFormatting>
  <conditionalFormatting sqref="K23:K28">
    <cfRule type="cellIs" dxfId="60" priority="151" operator="equal">
      <formula>$S$13</formula>
    </cfRule>
    <cfRule type="cellIs" dxfId="59" priority="154" operator="equal">
      <formula>$S$10</formula>
    </cfRule>
    <cfRule type="cellIs" dxfId="58" priority="156" operator="equal">
      <formula>$S$14</formula>
    </cfRule>
    <cfRule type="cellIs" dxfId="57" priority="155" operator="equal">
      <formula>$S$9</formula>
    </cfRule>
    <cfRule type="cellIs" dxfId="56" priority="153" operator="equal">
      <formula>$S$11</formula>
    </cfRule>
    <cfRule type="cellIs" dxfId="55" priority="152" operator="equal">
      <formula>$S$12</formula>
    </cfRule>
  </conditionalFormatting>
  <conditionalFormatting sqref="K37:K49">
    <cfRule type="cellIs" dxfId="54" priority="81" operator="equal">
      <formula>$S$11</formula>
    </cfRule>
    <cfRule type="cellIs" dxfId="53" priority="82" operator="equal">
      <formula>$S$10</formula>
    </cfRule>
    <cfRule type="cellIs" dxfId="52" priority="83" operator="equal">
      <formula>$S$9</formula>
    </cfRule>
    <cfRule type="cellIs" dxfId="51" priority="84" operator="equal">
      <formula>$S$14</formula>
    </cfRule>
    <cfRule type="cellIs" dxfId="50" priority="80" operator="equal">
      <formula>$S$12</formula>
    </cfRule>
    <cfRule type="cellIs" dxfId="49" priority="79" operator="equal">
      <formula>$S$13</formula>
    </cfRule>
  </conditionalFormatting>
  <conditionalFormatting sqref="K47:K50">
    <cfRule type="cellIs" dxfId="48" priority="20" operator="equal">
      <formula>$S$12</formula>
    </cfRule>
    <cfRule type="cellIs" dxfId="47" priority="23" operator="equal">
      <formula>$S$9</formula>
    </cfRule>
    <cfRule type="cellIs" dxfId="46" priority="24" operator="equal">
      <formula>$S$14</formula>
    </cfRule>
    <cfRule type="cellIs" dxfId="45" priority="22" operator="equal">
      <formula>$S$10</formula>
    </cfRule>
    <cfRule type="cellIs" dxfId="44" priority="21" operator="equal">
      <formula>$S$11</formula>
    </cfRule>
    <cfRule type="cellIs" dxfId="43" priority="19" operator="equal">
      <formula>$S$13</formula>
    </cfRule>
  </conditionalFormatting>
  <conditionalFormatting sqref="K50:K51 F32:F54">
    <cfRule type="cellIs" dxfId="42" priority="7" operator="equal">
      <formula>$S$13</formula>
    </cfRule>
  </conditionalFormatting>
  <conditionalFormatting sqref="K51">
    <cfRule type="cellIs" dxfId="41" priority="2" operator="equal">
      <formula>$S$12</formula>
    </cfRule>
    <cfRule type="cellIs" dxfId="40" priority="3" operator="equal">
      <formula>$S$11</formula>
    </cfRule>
    <cfRule type="cellIs" dxfId="39" priority="4" operator="equal">
      <formula>$S$10</formula>
    </cfRule>
    <cfRule type="cellIs" dxfId="38" priority="5" operator="equal">
      <formula>$S$9</formula>
    </cfRule>
    <cfRule type="cellIs" dxfId="37" priority="6" operator="equal">
      <formula>$S$14</formula>
    </cfRule>
    <cfRule type="cellIs" dxfId="36" priority="1" operator="equal">
      <formula>$S$13</formula>
    </cfRule>
  </conditionalFormatting>
  <conditionalFormatting sqref="K52">
    <cfRule type="cellIs" dxfId="35" priority="69" operator="equal">
      <formula>$S$11</formula>
    </cfRule>
    <cfRule type="cellIs" dxfId="34" priority="72" operator="equal">
      <formula>$S$14</formula>
    </cfRule>
    <cfRule type="cellIs" dxfId="33" priority="71" operator="equal">
      <formula>$S$9</formula>
    </cfRule>
    <cfRule type="cellIs" dxfId="32" priority="70" operator="equal">
      <formula>$S$10</formula>
    </cfRule>
    <cfRule type="cellIs" dxfId="31" priority="68" operator="equal">
      <formula>$S$12</formula>
    </cfRule>
    <cfRule type="cellIs" dxfId="30" priority="67" operator="equal">
      <formula>$S$13</formula>
    </cfRule>
  </conditionalFormatting>
  <conditionalFormatting sqref="K52:K53">
    <cfRule type="cellIs" dxfId="29" priority="55" operator="equal">
      <formula>$S$13</formula>
    </cfRule>
    <cfRule type="cellIs" dxfId="28" priority="56" operator="equal">
      <formula>$S$12</formula>
    </cfRule>
    <cfRule type="cellIs" dxfId="27" priority="57" operator="equal">
      <formula>$S$11</formula>
    </cfRule>
    <cfRule type="cellIs" dxfId="26" priority="58" operator="equal">
      <formula>$S$10</formula>
    </cfRule>
    <cfRule type="cellIs" dxfId="25" priority="59" operator="equal">
      <formula>$S$9</formula>
    </cfRule>
    <cfRule type="cellIs" dxfId="24" priority="60" operator="equal">
      <formula>$S$14</formula>
    </cfRule>
  </conditionalFormatting>
  <conditionalFormatting sqref="K53:K54">
    <cfRule type="cellIs" dxfId="23" priority="45" operator="equal">
      <formula>$S$11</formula>
    </cfRule>
    <cfRule type="cellIs" dxfId="22" priority="46" operator="equal">
      <formula>$S$10</formula>
    </cfRule>
    <cfRule type="cellIs" dxfId="21" priority="47" operator="equal">
      <formula>$S$9</formula>
    </cfRule>
    <cfRule type="cellIs" dxfId="20" priority="48" operator="equal">
      <formula>$S$14</formula>
    </cfRule>
    <cfRule type="cellIs" dxfId="19" priority="43" operator="equal">
      <formula>$S$13</formula>
    </cfRule>
    <cfRule type="cellIs" dxfId="18" priority="44" operator="equal">
      <formula>$S$12</formula>
    </cfRule>
  </conditionalFormatting>
  <conditionalFormatting sqref="K54">
    <cfRule type="cellIs" dxfId="17" priority="38" operator="equal">
      <formula>$S$12</formula>
    </cfRule>
    <cfRule type="cellIs" dxfId="16" priority="37" operator="equal">
      <formula>$S$13</formula>
    </cfRule>
    <cfRule type="cellIs" dxfId="15" priority="39" operator="equal">
      <formula>$S$11</formula>
    </cfRule>
    <cfRule type="cellIs" dxfId="14" priority="40" operator="equal">
      <formula>$S$10</formula>
    </cfRule>
    <cfRule type="cellIs" dxfId="13" priority="41" operator="equal">
      <formula>$S$9</formula>
    </cfRule>
    <cfRule type="cellIs" dxfId="12" priority="42" operator="equal">
      <formula>$S$14</formula>
    </cfRule>
  </conditionalFormatting>
  <conditionalFormatting sqref="K68:K71">
    <cfRule type="cellIs" dxfId="11" priority="109" operator="equal">
      <formula>$S$13</formula>
    </cfRule>
    <cfRule type="cellIs" dxfId="10" priority="110" operator="equal">
      <formula>$S$12</formula>
    </cfRule>
    <cfRule type="cellIs" dxfId="9" priority="111" operator="equal">
      <formula>$S$11</formula>
    </cfRule>
    <cfRule type="cellIs" dxfId="8" priority="112" operator="equal">
      <formula>$S$10</formula>
    </cfRule>
    <cfRule type="cellIs" dxfId="7" priority="113" operator="equal">
      <formula>$S$9</formula>
    </cfRule>
    <cfRule type="cellIs" dxfId="6" priority="114" operator="equal">
      <formula>$S$14</formula>
    </cfRule>
  </conditionalFormatting>
  <conditionalFormatting sqref="K73:K81">
    <cfRule type="cellIs" dxfId="5" priority="26" operator="equal">
      <formula>$S$12</formula>
    </cfRule>
    <cfRule type="cellIs" dxfId="4" priority="27" operator="equal">
      <formula>$S$11</formula>
    </cfRule>
    <cfRule type="cellIs" dxfId="3" priority="28" operator="equal">
      <formula>$S$10</formula>
    </cfRule>
    <cfRule type="cellIs" dxfId="2" priority="29" operator="equal">
      <formula>$S$9</formula>
    </cfRule>
    <cfRule type="cellIs" dxfId="1" priority="30" operator="equal">
      <formula>$S$14</formula>
    </cfRule>
    <cfRule type="cellIs" dxfId="0" priority="25" operator="equal">
      <formula>$S$13</formula>
    </cfRule>
  </conditionalFormatting>
  <pageMargins left="0.7" right="0.7" top="0.75" bottom="0.75" header="0.3" footer="0.3"/>
  <pageSetup paperSize="8" scale="95"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CB4E636-5367-4885-B0DB-CE49E1C99A49}">
          <x14:formula1>
            <xm:f>Lookups!$B$4:$B$8</xm:f>
          </x14:formula1>
          <xm:sqref>D59 D30 I30 I59 I83 I56:I57 D83 D61:D66 I61:I66 D56:D57 D10:D21 I10:I21 D23:D28 I23:I28 I68:I71 D68:D71 I73:I81 I85:I87 D85:D87 D73:D81 I89:I92 D89:D92 I32:I54 D32:D54</xm:sqref>
        </x14:dataValidation>
        <x14:dataValidation type="list" allowBlank="1" showInputMessage="1" showErrorMessage="1" xr:uid="{415F9E6A-5F33-4026-B198-FE5321AE2E8E}">
          <x14:formula1>
            <xm:f>Lookups!$C$4:$C$8</xm:f>
          </x14:formula1>
          <xm:sqref>E59 E30 J30 J59 J83 J56:J57 E83 E61:E66 J61:J66 E56:E57 E10:E21 J10:J21 E23:E28 J23:J28 J68:J71 E68:E71 J73:J81 J85:J87 E85:E87 E73:E81 J89:J92 E89:E92 J32:J54 E32:E54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4EA3-8762-47E3-8431-5022A6899A4E}">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D669-B962-4B1A-A9AF-15DA67F2CF13}">
  <dimension ref="A1"/>
  <sheetViews>
    <sheetView workbookViewId="0">
      <selection activeCell="T16" sqref="T16"/>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E457-439B-44CD-B4E4-E2D3E00A1BAD}">
  <dimension ref="A1"/>
  <sheetViews>
    <sheetView workbookViewId="0"/>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F698-7AC3-4409-85A8-04F8A374640E}">
  <dimension ref="B2:J8"/>
  <sheetViews>
    <sheetView workbookViewId="0">
      <selection activeCell="E35" sqref="E35"/>
    </sheetView>
  </sheetViews>
  <sheetFormatPr defaultRowHeight="14.5" x14ac:dyDescent="0.35"/>
  <cols>
    <col min="2" max="2" width="16" bestFit="1" customWidth="1"/>
    <col min="3" max="3" width="18.1796875" bestFit="1" customWidth="1"/>
    <col min="4" max="4" width="5.81640625" style="13" customWidth="1"/>
    <col min="5" max="5" width="11" bestFit="1" customWidth="1"/>
    <col min="6" max="10" width="13.81640625" customWidth="1"/>
  </cols>
  <sheetData>
    <row r="2" spans="2:10" x14ac:dyDescent="0.35">
      <c r="E2" s="1" t="s">
        <v>63</v>
      </c>
    </row>
    <row r="3" spans="2:10" x14ac:dyDescent="0.35">
      <c r="B3" s="1" t="s">
        <v>51</v>
      </c>
      <c r="C3" s="1" t="s">
        <v>57</v>
      </c>
      <c r="D3" s="14"/>
      <c r="F3" s="1" t="s">
        <v>52</v>
      </c>
      <c r="G3" s="1" t="s">
        <v>53</v>
      </c>
      <c r="H3" s="1" t="s">
        <v>54</v>
      </c>
      <c r="I3" s="1" t="s">
        <v>55</v>
      </c>
      <c r="J3" s="1" t="s">
        <v>56</v>
      </c>
    </row>
    <row r="4" spans="2:10" x14ac:dyDescent="0.35">
      <c r="B4" t="s">
        <v>52</v>
      </c>
      <c r="C4" t="s">
        <v>58</v>
      </c>
      <c r="D4" s="13">
        <v>1</v>
      </c>
      <c r="E4" s="1" t="s">
        <v>58</v>
      </c>
      <c r="F4" t="s">
        <v>64</v>
      </c>
      <c r="G4" t="s">
        <v>64</v>
      </c>
      <c r="H4" t="s">
        <v>65</v>
      </c>
      <c r="I4" t="s">
        <v>65</v>
      </c>
      <c r="J4" t="s">
        <v>66</v>
      </c>
    </row>
    <row r="5" spans="2:10" x14ac:dyDescent="0.35">
      <c r="B5" t="s">
        <v>53</v>
      </c>
      <c r="C5" t="s">
        <v>59</v>
      </c>
      <c r="D5" s="13">
        <v>2</v>
      </c>
      <c r="E5" s="1" t="s">
        <v>59</v>
      </c>
      <c r="F5" t="s">
        <v>64</v>
      </c>
      <c r="G5" t="s">
        <v>64</v>
      </c>
      <c r="H5" t="s">
        <v>65</v>
      </c>
      <c r="I5" t="s">
        <v>66</v>
      </c>
      <c r="J5" t="s">
        <v>67</v>
      </c>
    </row>
    <row r="6" spans="2:10" x14ac:dyDescent="0.35">
      <c r="B6" t="s">
        <v>54</v>
      </c>
      <c r="C6" t="s">
        <v>60</v>
      </c>
      <c r="D6" s="13">
        <v>3</v>
      </c>
      <c r="E6" s="1" t="s">
        <v>60</v>
      </c>
      <c r="F6" t="s">
        <v>65</v>
      </c>
      <c r="G6" t="s">
        <v>65</v>
      </c>
      <c r="H6" t="s">
        <v>66</v>
      </c>
      <c r="I6" t="s">
        <v>67</v>
      </c>
      <c r="J6" t="s">
        <v>67</v>
      </c>
    </row>
    <row r="7" spans="2:10" x14ac:dyDescent="0.35">
      <c r="B7" t="s">
        <v>55</v>
      </c>
      <c r="C7" t="s">
        <v>61</v>
      </c>
      <c r="D7" s="13">
        <v>4</v>
      </c>
      <c r="E7" s="1" t="s">
        <v>61</v>
      </c>
      <c r="F7" t="s">
        <v>65</v>
      </c>
      <c r="G7" t="s">
        <v>66</v>
      </c>
      <c r="H7" t="s">
        <v>67</v>
      </c>
      <c r="I7" t="s">
        <v>67</v>
      </c>
      <c r="J7" t="s">
        <v>67</v>
      </c>
    </row>
    <row r="8" spans="2:10" x14ac:dyDescent="0.35">
      <c r="B8" t="s">
        <v>56</v>
      </c>
      <c r="C8" t="s">
        <v>62</v>
      </c>
      <c r="D8" s="13">
        <v>5</v>
      </c>
      <c r="E8" s="1" t="s">
        <v>62</v>
      </c>
      <c r="F8" t="s">
        <v>66</v>
      </c>
      <c r="G8" t="s">
        <v>67</v>
      </c>
      <c r="H8" t="s">
        <v>67</v>
      </c>
      <c r="I8" t="s">
        <v>67</v>
      </c>
      <c r="J8" t="s">
        <v>68</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Planning Phase</vt:lpstr>
      <vt:lpstr>Design Phase</vt:lpstr>
      <vt:lpstr>Implementation Phase</vt:lpstr>
      <vt:lpstr>Likelihood</vt:lpstr>
      <vt:lpstr>Consequence</vt:lpstr>
      <vt:lpstr>Risk Level</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Sullivan</dc:creator>
  <cp:lastModifiedBy>Philip Woods</cp:lastModifiedBy>
  <cp:lastPrinted>2020-11-26T05:51:13Z</cp:lastPrinted>
  <dcterms:created xsi:type="dcterms:W3CDTF">2020-11-24T23:51:52Z</dcterms:created>
  <dcterms:modified xsi:type="dcterms:W3CDTF">2024-09-17T22:41:33Z</dcterms:modified>
</cp:coreProperties>
</file>